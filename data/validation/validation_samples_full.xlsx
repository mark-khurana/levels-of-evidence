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bxc331/Desktop/"/>
    </mc:Choice>
  </mc:AlternateContent>
  <xr:revisionPtr revIDLastSave="0" documentId="13_ncr:1_{1C3CB95E-56D8-8045-9186-E13C43248204}" xr6:coauthVersionLast="47" xr6:coauthVersionMax="47" xr10:uidLastSave="{00000000-0000-0000-0000-000000000000}"/>
  <bookViews>
    <workbookView xWindow="0" yWindow="660" windowWidth="25420" windowHeight="17660" activeTab="1" xr2:uid="{00000000-000D-0000-FFFF-FFFF00000000}"/>
  </bookViews>
  <sheets>
    <sheet name="loe_accuracy" sheetId="1" r:id="rId1"/>
    <sheet name="extraction_completenes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0" i="2" l="1"/>
  <c r="H80" i="2" l="1"/>
  <c r="G80" i="2"/>
  <c r="I78" i="2"/>
  <c r="J78" i="2" s="1"/>
  <c r="I77" i="2"/>
  <c r="J77" i="2" s="1"/>
  <c r="I76" i="2"/>
  <c r="J76" i="2" s="1"/>
  <c r="I75" i="2"/>
  <c r="J75" i="2" s="1"/>
  <c r="I74" i="2"/>
  <c r="J74" i="2" s="1"/>
  <c r="I73" i="2"/>
  <c r="J73" i="2" s="1"/>
  <c r="I72" i="2"/>
  <c r="J72" i="2" s="1"/>
  <c r="I71" i="2"/>
  <c r="J71" i="2" s="1"/>
  <c r="I70" i="2"/>
  <c r="J70" i="2" s="1"/>
  <c r="I69" i="2"/>
  <c r="J69" i="2" s="1"/>
  <c r="I68" i="2"/>
  <c r="J68" i="2" s="1"/>
  <c r="I67" i="2"/>
  <c r="J67" i="2" s="1"/>
  <c r="I66" i="2"/>
  <c r="J66" i="2" s="1"/>
  <c r="I65" i="2"/>
  <c r="J65" i="2" s="1"/>
  <c r="I64" i="2"/>
  <c r="J64" i="2" s="1"/>
  <c r="I63" i="2"/>
  <c r="J63" i="2" s="1"/>
  <c r="I62" i="2"/>
  <c r="J62" i="2" s="1"/>
  <c r="I61" i="2"/>
  <c r="J61" i="2" s="1"/>
  <c r="I60" i="2"/>
  <c r="J60" i="2" s="1"/>
  <c r="I59" i="2"/>
  <c r="J59" i="2" s="1"/>
  <c r="I58" i="2"/>
  <c r="J58" i="2" s="1"/>
  <c r="I57" i="2"/>
  <c r="J57" i="2" s="1"/>
  <c r="I56" i="2"/>
  <c r="J56" i="2" s="1"/>
  <c r="I55" i="2"/>
  <c r="J55" i="2" s="1"/>
  <c r="I54" i="2"/>
  <c r="J54" i="2" s="1"/>
  <c r="I53" i="2"/>
  <c r="J53" i="2" s="1"/>
  <c r="I52" i="2"/>
  <c r="J52" i="2" s="1"/>
  <c r="I51" i="2"/>
  <c r="J51" i="2" s="1"/>
  <c r="I50" i="2"/>
  <c r="J50" i="2" s="1"/>
  <c r="I49" i="2"/>
  <c r="J49" i="2" s="1"/>
  <c r="I48" i="2"/>
  <c r="J48" i="2" s="1"/>
  <c r="I47" i="2"/>
  <c r="J47" i="2" s="1"/>
  <c r="I46" i="2"/>
  <c r="J46" i="2" s="1"/>
  <c r="I45" i="2"/>
  <c r="J45" i="2" s="1"/>
  <c r="I44" i="2"/>
  <c r="J44" i="2" s="1"/>
  <c r="I43" i="2"/>
  <c r="J43" i="2" s="1"/>
  <c r="I42" i="2"/>
  <c r="J42" i="2" s="1"/>
  <c r="I41" i="2"/>
  <c r="J41" i="2" s="1"/>
  <c r="I40" i="2"/>
  <c r="J40" i="2" s="1"/>
  <c r="I39" i="2"/>
  <c r="J39" i="2" s="1"/>
  <c r="I38" i="2"/>
  <c r="J38" i="2" s="1"/>
  <c r="I37" i="2"/>
  <c r="J37" i="2" s="1"/>
  <c r="I36" i="2"/>
  <c r="J36" i="2" s="1"/>
  <c r="I35" i="2"/>
  <c r="J35" i="2" s="1"/>
  <c r="I34" i="2"/>
  <c r="J34" i="2" s="1"/>
  <c r="I33" i="2"/>
  <c r="J33" i="2" s="1"/>
  <c r="I32" i="2"/>
  <c r="J32" i="2" s="1"/>
  <c r="I31" i="2"/>
  <c r="J31" i="2" s="1"/>
  <c r="I30" i="2"/>
  <c r="J30" i="2" s="1"/>
  <c r="I29" i="2"/>
  <c r="J29" i="2" s="1"/>
  <c r="I28" i="2"/>
  <c r="J28" i="2" s="1"/>
  <c r="I27" i="2"/>
  <c r="J27" i="2" s="1"/>
  <c r="I26" i="2"/>
  <c r="J26" i="2" s="1"/>
  <c r="I25" i="2"/>
  <c r="J25" i="2" s="1"/>
  <c r="I24" i="2"/>
  <c r="J24" i="2" s="1"/>
  <c r="I23" i="2"/>
  <c r="J23" i="2" s="1"/>
  <c r="I22" i="2"/>
  <c r="J22" i="2" s="1"/>
  <c r="I21" i="2"/>
  <c r="J21" i="2" s="1"/>
  <c r="I20" i="2"/>
  <c r="J20" i="2" s="1"/>
  <c r="I19" i="2"/>
  <c r="J19" i="2" s="1"/>
  <c r="I18" i="2"/>
  <c r="J18" i="2" s="1"/>
  <c r="I17" i="2"/>
  <c r="J17" i="2" s="1"/>
  <c r="I16" i="2"/>
  <c r="J16" i="2" s="1"/>
  <c r="I15" i="2"/>
  <c r="J15" i="2" s="1"/>
  <c r="I14" i="2"/>
  <c r="J14" i="2" s="1"/>
  <c r="I13" i="2"/>
  <c r="J13" i="2" s="1"/>
  <c r="I12" i="2"/>
  <c r="J12" i="2" s="1"/>
  <c r="I11" i="2"/>
  <c r="J11" i="2" s="1"/>
  <c r="I10" i="2"/>
  <c r="J10" i="2" s="1"/>
  <c r="I9" i="2"/>
  <c r="J9" i="2" s="1"/>
  <c r="I8" i="2"/>
  <c r="J8" i="2" s="1"/>
  <c r="I7" i="2"/>
  <c r="J7" i="2" s="1"/>
  <c r="I6" i="2"/>
  <c r="J6" i="2" s="1"/>
  <c r="I5" i="2"/>
  <c r="J5" i="2" s="1"/>
  <c r="I4" i="2"/>
  <c r="J4" i="2" s="1"/>
  <c r="I3" i="2"/>
  <c r="J3" i="2" s="1"/>
  <c r="I2" i="2"/>
  <c r="C1188" i="1"/>
  <c r="C1187" i="1"/>
  <c r="C1185" i="1"/>
  <c r="C1186" i="1" s="1"/>
  <c r="I80" i="2" l="1"/>
  <c r="C1189" i="1"/>
  <c r="J2" i="2"/>
</calcChain>
</file>

<file path=xl/sharedStrings.xml><?xml version="1.0" encoding="utf-8"?>
<sst xmlns="http://schemas.openxmlformats.org/spreadsheetml/2006/main" count="13411" uniqueCount="3889">
  <si>
    <t>rec_id</t>
  </si>
  <si>
    <t>guideline_id</t>
  </si>
  <si>
    <t>society</t>
  </si>
  <si>
    <t>specialty</t>
  </si>
  <si>
    <t>guideline_title</t>
  </si>
  <si>
    <t>year</t>
  </si>
  <si>
    <t>doi_link</t>
  </si>
  <si>
    <t>recommendation_text</t>
  </si>
  <si>
    <t>extracted_loe</t>
  </si>
  <si>
    <t>extracted_loe_normalized</t>
  </si>
  <si>
    <t>1</t>
  </si>
  <si>
    <t>aaaai_rhinitis_2020</t>
  </si>
  <si>
    <t>AAAAI</t>
  </si>
  <si>
    <t>Allergy &amp; Immunology</t>
  </si>
  <si>
    <t>Rhinitis 2020: A practice parameter update (AAAAI/ACAAI JTF)</t>
  </si>
  <si>
    <t>2020</t>
  </si>
  <si>
    <t>https://doi.org/10.1016/j.jaci.2020.07.007</t>
  </si>
  <si>
    <t>We suggest that for SAR the clinician not combine the oral LTRA montelukast with an oral antihistamine for symptoms not controlled with an oral antihistamine. (See Recommendation 7.)</t>
  </si>
  <si>
    <t>Moderate</t>
  </si>
  <si>
    <t>0.75</t>
  </si>
  <si>
    <t>Yes</t>
  </si>
  <si>
    <t>2</t>
  </si>
  <si>
    <t>aaaai_anaphylaxis_2023</t>
  </si>
  <si>
    <t>Anaphylaxis: A 2023 practice parameter update (AAAAI/ACAAI JTF)</t>
  </si>
  <si>
    <t>2023</t>
  </si>
  <si>
    <t>https://doi.org/10.1016/j.anai.2023.09.015</t>
  </si>
  <si>
    <t>We recommend clinicians educate patients on avoidance of potential exposure to their allergen(s).</t>
  </si>
  <si>
    <t>Very low</t>
  </si>
  <si>
    <t>0.25</t>
  </si>
  <si>
    <t>3</t>
  </si>
  <si>
    <t>aaaai_atopic_dermatitis_2023</t>
  </si>
  <si>
    <t>Atopic dermatitis guidelines: 2023 AAAAI/ACAAI JTFPP GRADE recommendations</t>
  </si>
  <si>
    <t>https://doi.org/10.1016/j.anai.2023.11.009</t>
  </si>
  <si>
    <t>The panel suggests against using azathioprine</t>
  </si>
  <si>
    <t>Low</t>
  </si>
  <si>
    <t>0.5</t>
  </si>
  <si>
    <t>4</t>
  </si>
  <si>
    <t>We suggest against the addition of the oral LTRA montelukast to an INCS for AR, due to the lack of adequate evidence of improved efficacy and concerns for serious neuropsychiatric events from monteluk</t>
  </si>
  <si>
    <t>5</t>
  </si>
  <si>
    <t>We suggest that in jurisdictions where single-packs of EAIs are available, clinicians consider a patient’s risk factors for severe anaphylaxis, their values and preferences, and contextual factors whe</t>
  </si>
  <si>
    <t>yes</t>
  </si>
  <si>
    <t>6</t>
  </si>
  <si>
    <t>aace_american_association_of_clinic</t>
  </si>
  <si>
    <t>AACE</t>
  </si>
  <si>
    <t>Endocrinology</t>
  </si>
  <si>
    <t>American Association of Clinical Endocrinology Clinical Practice Guideline on Pharmacologic Manageme</t>
  </si>
  <si>
    <t>2025</t>
  </si>
  <si>
    <t>https://doi.org/10.1016/j.eprac.2024.09.016</t>
  </si>
  <si>
    <t>For primary prevention in adults with dyslipidemia, AACE recommends the use of a validated tool or calculator to predict future risk of ASCVD events as part of shared decision-making around treatment.</t>
  </si>
  <si>
    <t>Ungraded</t>
  </si>
  <si>
    <t>0.125</t>
  </si>
  <si>
    <t>Sum %</t>
  </si>
  <si>
    <t>7</t>
  </si>
  <si>
    <t>In adults with dyslipidemia who do not have ASCVD and who may tolerate other lipid-lowering medications, AACE suggests against the use of evolocumab or alirocumab in addition to usual care.</t>
  </si>
  <si>
    <t>8</t>
  </si>
  <si>
    <t>In adults with hypertriglyceridemia (150-499 mg/dL) who have ASCVD or are at increased risk for ASCVD, AACE suggests for the use of EPA (IPE) in addition to statins.</t>
  </si>
  <si>
    <t>9</t>
  </si>
  <si>
    <t>aad_joint_american_academy_of_dermatology_national_psoriasis_fou</t>
  </si>
  <si>
    <t>AAD</t>
  </si>
  <si>
    <t>Dermatology</t>
  </si>
  <si>
    <t>Joint American Academy of Dermatology–National Psoriasis Foundation guidelines of care for the manag</t>
  </si>
  <si>
    <t>2019</t>
  </si>
  <si>
    <t>https://doi.org/10.1016/j.jaad.2019.08.049</t>
  </si>
  <si>
    <t>Tacrolimus 0.1% ointment is recommended for off-label use as monotherapy for pediatric psoriasis of the face and genital region.</t>
  </si>
  <si>
    <t>II-III</t>
  </si>
  <si>
    <t>10</t>
  </si>
  <si>
    <t>Pediatric patients with psoriasis should be educated about their increased risk of dyslipidemia.</t>
  </si>
  <si>
    <t>11</t>
  </si>
  <si>
    <t>aad_joint_aad_npf_guidelines_of_care_for_the_management_and_trea</t>
  </si>
  <si>
    <t>Joint AAD-NPF guidelines of care for the management and treatment of psoriasis with biologics</t>
  </si>
  <si>
    <t>https://doi.org/10.1016/j.jaad.2018.11.057</t>
  </si>
  <si>
    <t>Ustekinumab can be recommended as a monotherapy treatment option for use in adult patients with moderate-to-severe plaque psoriasis affecting the nails</t>
  </si>
  <si>
    <t>I-II</t>
  </si>
  <si>
    <t>12</t>
  </si>
  <si>
    <t>Fumaric acid esters may be considered as a potentially effective alternative therapy for pediatric patients with moderate to severe psoriasis who are candidates for systemic therapy.</t>
  </si>
  <si>
    <t>13</t>
  </si>
  <si>
    <t>The approved dose will likely be 150 mg given by self-administered subcutaneous injection at wk 0, wk 4, and then every 12 wk</t>
  </si>
  <si>
    <t>I</t>
  </si>
  <si>
    <t>1.0</t>
  </si>
  <si>
    <t>14</t>
  </si>
  <si>
    <t>The recommended dose of brodalumab is 210 mg by self-administered subcutaneous injection at wk 0, wk 1, and wk 2 followed by 210 mg every 2 wk</t>
  </si>
  <si>
    <t>15</t>
  </si>
  <si>
    <t>Pediatric patients with psoriasis who are overweight and have increased risk for insulin resistance may be screened similarly to obese patients at the provider's discretion.</t>
  </si>
  <si>
    <t>III</t>
  </si>
  <si>
    <t>16</t>
  </si>
  <si>
    <t>Pediatric psoriasis patients with obesity should be routinely assessed for the comorbidities of obesity (independent of psoriasis) by their primary care provider or dermatologist.</t>
  </si>
  <si>
    <t>17</t>
  </si>
  <si>
    <t>aad_guidelines_of_care_for_the_management_of_atopic_dermatitis_i</t>
  </si>
  <si>
    <t>Guidelines of care for the management of atopic dermatitis in pediatric patients</t>
  </si>
  <si>
    <t>2026</t>
  </si>
  <si>
    <t>https://doi.org/10.1016/j.jaad.2026.02.113</t>
  </si>
  <si>
    <t>We recommend the use of nemolizumab for moderate-to-severe AD in patients aged 12 years and older.</t>
  </si>
  <si>
    <t>18</t>
  </si>
  <si>
    <t>AAFP-POSTMI-DEP-2009</t>
  </si>
  <si>
    <t>AAFP</t>
  </si>
  <si>
    <t>Family Medicine</t>
  </si>
  <si>
    <t>AAFP Guideline for the Detection and Management of Post-Myocardial Infarction Depression</t>
  </si>
  <si>
    <t>2009</t>
  </si>
  <si>
    <t>https://doi.org/10.1370/afm.918</t>
  </si>
  <si>
    <t>Selective serotonin reuptake inhibitors (SSRIs) are preferred to tricyclic antidepressants for treatment of depression in post-MI patients.</t>
  </si>
  <si>
    <t>A</t>
  </si>
  <si>
    <t>19</t>
  </si>
  <si>
    <t>AAFP-ACP-AFIB-2003</t>
  </si>
  <si>
    <t>Management of Newly Detected Atrial Fibrillation: AAFP/ACP Joint Guideline</t>
  </si>
  <si>
    <t>2003</t>
  </si>
  <si>
    <t>https://doi.org/10.7326/0003-4819-139-12-200312160-00011</t>
  </si>
  <si>
    <t>Patients with atrial fibrillation should receive chronic anticoagulation with adjusted-dose warfarin, unless at low risk of stroke or with contraindication.</t>
  </si>
  <si>
    <t>20</t>
  </si>
  <si>
    <t>Both TEE with short-term anticoagulation followed by early cardioversion and delayed cardioversion with pre/post anticoagulation are appropriate strategies.</t>
  </si>
  <si>
    <t>21</t>
  </si>
  <si>
    <t>aan_migraine_prevention_pediatric_2019</t>
  </si>
  <si>
    <t>AAN</t>
  </si>
  <si>
    <t>Neurology</t>
  </si>
  <si>
    <t>Practice guideline update: Pharmacologic treatment for pediatric migraine prevention</t>
  </si>
  <si>
    <t>https://doi.org/10.1212/WNL.0000000000008105</t>
  </si>
  <si>
    <t>Clinicians should discuss the evidence for topiramate for migraine prevention in children and adolescents and its side effects in this population.</t>
  </si>
  <si>
    <t>B</t>
  </si>
  <si>
    <t>22</t>
  </si>
  <si>
    <t>aan_teratogenesis_antiseizure_medications_pregnancy_2024</t>
  </si>
  <si>
    <t>AAN Teratogenesis Antiseizure Medications Pregnancy</t>
  </si>
  <si>
    <t>2024</t>
  </si>
  <si>
    <t>https://doi.org/10.1212/WNL.0000000000209279</t>
  </si>
  <si>
    <t>6C. Clinicians should counsel PWECP treated with an ASM that adherence to recommended folic acid supplementation preconceptionally and during pregnancy is important to minimize the risk of MCMs and po</t>
  </si>
  <si>
    <t>23</t>
  </si>
  <si>
    <t>aan_neuropathic_pain_diabetic_2022</t>
  </si>
  <si>
    <t>Practice guideline: Treatment of painful diabetic neuropathy</t>
  </si>
  <si>
    <t>2022</t>
  </si>
  <si>
    <t>https://doi.org/10.1212/WNL.0000000000013038</t>
  </si>
  <si>
    <t>In all patients with PDN, clinicians should not prescribe valproic acid given the potential for serious adverse events unless multiple other effective medications have failed.</t>
  </si>
  <si>
    <t>24</t>
  </si>
  <si>
    <t>aan_migraine_acute_pediatric_2019</t>
  </si>
  <si>
    <t>Practice guideline update: Acute treatment of migraine in children and adolescents</t>
  </si>
  <si>
    <t>https://doi.org/10.1212/WNL.0000000000008095</t>
  </si>
  <si>
    <t>For children and adolescents with migraine who experience prominent nausea or vomiting, clinicians should offer additional antiemetic treatments.</t>
  </si>
  <si>
    <t>25</t>
  </si>
  <si>
    <t>Clinicians should counsel that acute migraine treatments are more likely to be effective when used earlier in the migraine attack, when pain is still mild.</t>
  </si>
  <si>
    <t>26</t>
  </si>
  <si>
    <t>27</t>
  </si>
  <si>
    <t>aan_disorders_of_consciousness_2018</t>
  </si>
  <si>
    <t>Practice guideline update: Disorders of consciousness</t>
  </si>
  <si>
    <t>2018</t>
  </si>
  <si>
    <t>https://doi.org/10.1212/WNL.0000000000005926</t>
  </si>
  <si>
    <t>Nontraumatic, postanoxic VS/UWS: Clinicians should perform the CRS-R (Level B) and may assess SEPs (Level C based on feasibility) to assist in prognostication regarding recovery of consciousness at 24</t>
  </si>
  <si>
    <t>C</t>
  </si>
  <si>
    <t>no</t>
  </si>
  <si>
    <t>28</t>
  </si>
  <si>
    <t>When patients enter the chronic phase of VS/UWS (i.e., 3 months after non-TBI and 12 months after TBI), prognostic counseling should be provided that emphasizes the likelihood of permanent severe disa</t>
  </si>
  <si>
    <t>29</t>
  </si>
  <si>
    <t>aao_hns_hoarseness_dysphonia_update_2018</t>
  </si>
  <si>
    <t>AAO-HNS</t>
  </si>
  <si>
    <t>Otolaryngology</t>
  </si>
  <si>
    <t>AAO-HNS Hoarseness Dysphonia Update</t>
  </si>
  <si>
    <t>https://doi.org/10.1177/0194599817751030</t>
  </si>
  <si>
    <t>Clinicians should not routinely prescribe corticosteroids for patients with dysphonia prior to visualization of the larynx</t>
  </si>
  <si>
    <t>30</t>
  </si>
  <si>
    <t>aao_hns_bppv_update_2017</t>
  </si>
  <si>
    <t>AAO-HNS BPPV Update</t>
  </si>
  <si>
    <t>2017</t>
  </si>
  <si>
    <t>https://doi.org/10.1177/0194599816689667</t>
  </si>
  <si>
    <t>Clinicians should treat, or refer to a clinician who can treat, patients with posterior canal BPPV with a CRP</t>
  </si>
  <si>
    <t>High</t>
  </si>
  <si>
    <t>31</t>
  </si>
  <si>
    <t>aao_hns_sudden_hearing_loss_update_2019</t>
  </si>
  <si>
    <t>AAO-HNS Sudden Hearing Loss Update</t>
  </si>
  <si>
    <t>https://doi.org/10.1177/0194599819859885</t>
  </si>
  <si>
    <t>OTHER PHARMACOLOGIC THERAPY: Clinicians should not routinely prescribe antivirals, thrombolytics, vasodilators, or vasoactive substances to patients with SSNHL.</t>
  </si>
  <si>
    <t>32</t>
  </si>
  <si>
    <t>aaohns_clinical_practice_guideline_immunotherapy_for_inha</t>
  </si>
  <si>
    <t>Clinical Practice Guideline: Immunotherapy for Inhalant Allergy</t>
  </si>
  <si>
    <t>https://doi.org/10.1002/ohn.648</t>
  </si>
  <si>
    <t xml:space="preserve">Candidacy for AIT. Clinicians should offer or refer to a clinician who can offer allergen immunotherapy for patients with allergic rhinitis with or without allergic asthma if their patients' symptoms </t>
  </si>
  <si>
    <t>33</t>
  </si>
  <si>
    <t>Clinicians should not routinely treat BPPV with vestibular suppressant medications such as antihistamines and/or benzodiazepines</t>
  </si>
  <si>
    <t>34</t>
  </si>
  <si>
    <t>Clinicians should educate patients regarding the impact of BPPV on their safety, the potential for disease recurrence, and the importance of follow-up</t>
  </si>
  <si>
    <t>35</t>
  </si>
  <si>
    <t>aaos_knee_oa_2021</t>
  </si>
  <si>
    <t>AAOS</t>
  </si>
  <si>
    <t>Orthopaedic Surgery</t>
  </si>
  <si>
    <t>OA of the Knee (Non-Arthroplasty)</t>
  </si>
  <si>
    <t>2021</t>
  </si>
  <si>
    <t>https://doi.org/10.5435/JAAOS-D-21-01233</t>
  </si>
  <si>
    <t>In the absence of reliable evidence, it is the opinion of the workgroup that the utility/efficacy of dry needling is unclear and requires additional evidence.</t>
  </si>
  <si>
    <t>Consensus</t>
  </si>
  <si>
    <t>36</t>
  </si>
  <si>
    <t>aaos_use_of_imaging_prior_to_referral_to_a_mu</t>
  </si>
  <si>
    <t>Use of Imaging Prior to Referral to a Musculoskeletal Oncologist</t>
  </si>
  <si>
    <t>https://doi.org/10.5435/JAAOS-D-19-00109</t>
  </si>
  <si>
    <t>In the absence of reliable evidence, it is the opinion of the work group that CT chest/abdomen/pelvis scans performed in patients with a destructive bone lesion highly suspicious for metastatic diseas</t>
  </si>
  <si>
    <t>37</t>
  </si>
  <si>
    <t>Moderate evidence supports using conventional radiographs in the initial evaluation of a bone tumor of unknown etiology.</t>
  </si>
  <si>
    <t>38</t>
  </si>
  <si>
    <t>aaos_management_of_carpal_tunnel_syndrome_202</t>
  </si>
  <si>
    <t>Management of Carpal Tunnel Syndrome (2024)</t>
  </si>
  <si>
    <t>https://doi.org/10.5435/JAAOS-D-24-01179</t>
  </si>
  <si>
    <t>The guideline panel suggests immobilization through sling or orthosis (e.g., splint, brace) should not be used after carpal tunnel release.</t>
  </si>
  <si>
    <t>39</t>
  </si>
  <si>
    <t>aaos_management_of_osteoarthritis_of_the_hip</t>
  </si>
  <si>
    <t>Management of Osteoarthritis of the Hip (2023)</t>
  </si>
  <si>
    <t>https://doi.org/10.5435/JAAOS-D-24-00420</t>
  </si>
  <si>
    <t xml:space="preserve">Limited evidence suggests that social determinants of health (e.g., education, income level, food desert, insurance type) may negatively impact length of stay, total cost of care, and mortality after </t>
  </si>
  <si>
    <t>Limited</t>
  </si>
  <si>
    <t>40</t>
  </si>
  <si>
    <t>aaos_surgical_management_of_osteoarthritis_of</t>
  </si>
  <si>
    <t>Surgical Management of Osteoarthritis of the Knee (2022)</t>
  </si>
  <si>
    <t>https://doi.org/10.5435/JAAOS-D-16-00159</t>
  </si>
  <si>
    <t>Moderate evidence supports that rehabilitation started on the day of TKA, compared with rehabilitation started on postoperative day 1, reduces pain and improves function.</t>
  </si>
  <si>
    <t>41</t>
  </si>
  <si>
    <t>aaos_hip_fracture_2021</t>
  </si>
  <si>
    <t>Hip Fractures in Older Adults</t>
  </si>
  <si>
    <t>https://doi.org/10.5435/JAAOS-D-22-00125</t>
  </si>
  <si>
    <t>Venous thromboembolism (VTE) prophylaxis should be used in hip fracture patients.</t>
  </si>
  <si>
    <t xml:space="preserve">Strong </t>
  </si>
  <si>
    <t>42</t>
  </si>
  <si>
    <t>aaos_management_of_rotator_cuff_injuries_2025</t>
  </si>
  <si>
    <t>Management of Rotator Cuff Injuries (2025)</t>
  </si>
  <si>
    <t>https://www.orthoguidelines.org/topic?id=1051&amp;tab=all_guidelines</t>
  </si>
  <si>
    <t>Marrow stimulation at the time of rotator cuff repair does not improve patient-reported outcomes; however, this technique may decrease retear rates in patients with larger tear sizes.</t>
  </si>
  <si>
    <t>Strong</t>
  </si>
  <si>
    <t>43</t>
  </si>
  <si>
    <t>aaos_management_of_glenohumeral_joint_osteoar</t>
  </si>
  <si>
    <t>Management of Glenohumeral Joint Osteoarthritis</t>
  </si>
  <si>
    <t>https://www.aaos.org/globalassets/quality-and-practice-resources/glenohumeral/gjo-cpg.pdf</t>
  </si>
  <si>
    <t>In the absence of reliable evidence, it is the opinion of the work group that patients with glenohumeral osteoarthritis undergoing arthroplasty should be imaged with axillary and true AP (Grashey view</t>
  </si>
  <si>
    <t>44</t>
  </si>
  <si>
    <t>aaos_management_of_acute_compartment_syndrome</t>
  </si>
  <si>
    <t>Management of Acute Compartment Syndrome (2025)</t>
  </si>
  <si>
    <t>https://www.aaos.org/globalassets/quality-and-practice-resources/acute-compartment-syndrome/2025-acs-rapid-update/acs-cpg-2025.pdf</t>
  </si>
  <si>
    <t>In the absence of reliable evidence, it is the opinion of the work group that there are no reported diagnostic modalities, other than direct pressure monitoring or clinical exam findings, that provide</t>
  </si>
  <si>
    <t>45</t>
  </si>
  <si>
    <t>Evidence shows no difference in long-term (&gt; 1 year) patient-reported outcomes or cuff healing rates between open and arthroscopic repairs; however, arthroscopic-only technique is associated with bett</t>
  </si>
  <si>
    <t>46</t>
  </si>
  <si>
    <t>In patients with unstable (displaced) femoral neck fractures, unipolar or bipolar hemiarthroplasty can be equally beneficial.</t>
  </si>
  <si>
    <t>47</t>
  </si>
  <si>
    <t>aaos_limb_salvage_or_early_amputation</t>
  </si>
  <si>
    <t>Limb Salvage or Early Amputation</t>
  </si>
  <si>
    <t>https://doi.org/10.5435/JAAOS-D-20-00188</t>
  </si>
  <si>
    <t>Physicians should not utilize extremity specific scores to select limb salvage vs. amputation, or to predict outcomes for patients with high energy lower extremity trauma.</t>
  </si>
  <si>
    <t>48</t>
  </si>
  <si>
    <t>aaos_detection_and_nonoperative_management_of</t>
  </si>
  <si>
    <t xml:space="preserve">Detection and Nonoperative Management of Pediatric Developmental Dysplasia of the Hip in Infants Up </t>
  </si>
  <si>
    <t>https://doi.org/10.5435/JAAOS-D-15-00006</t>
  </si>
  <si>
    <t>Limited evidence supports the use of an AP pelvis radiograph instead of an ultrasound to assess DDH in infants beginning at 4 months of age.</t>
  </si>
  <si>
    <t>49</t>
  </si>
  <si>
    <t>Moderate evidence supports that the use of a tourniquet in TKA decreases intraoperative blood loss.</t>
  </si>
  <si>
    <t>50</t>
  </si>
  <si>
    <t xml:space="preserve">Limited evidence suggests that these etiologies may lead to increased risk of adverse events or decreased functional outcomes: Crush, Blunt, Blast, Penetrating, Degloving, Volumetric muscle loss/soft </t>
  </si>
  <si>
    <t>51</t>
  </si>
  <si>
    <t>aap_uti_febrile_infant_2011</t>
  </si>
  <si>
    <t>AAP</t>
  </si>
  <si>
    <t>Pediatrics</t>
  </si>
  <si>
    <t>UTI: Diagnosis and Management of the Initial UTI in Febrile Infants</t>
  </si>
  <si>
    <t>2011</t>
  </si>
  <si>
    <t>https://doi.org/10.1542/peds.2011-1330</t>
  </si>
  <si>
    <t>After confirmation of UTI, the clinician should instruct parents or guardians to seek prompt medical evaluation (ideally within 48 hours) for future febrile illnesses, to ensure that recurrent infecti</t>
  </si>
  <si>
    <t>52</t>
  </si>
  <si>
    <t>aap_hyperbilirubinemia_2022</t>
  </si>
  <si>
    <t>Clinical Practice Guideline Revision: Management of Hyperbilirubinemia in the Newborn Infant 35 or M</t>
  </si>
  <si>
    <t>https://doi.org/10.1542/peds.2022-058859</t>
  </si>
  <si>
    <t>For infants requiring phototherapy, measure the hemoglobin concentration, hematocrit, or complete blood count to assess for the presence of anemia. Evaluate the underlying cause or causes of hyperbili</t>
  </si>
  <si>
    <t>X</t>
  </si>
  <si>
    <t>53</t>
  </si>
  <si>
    <t>AAP-BRUE-2016</t>
  </si>
  <si>
    <t>Brief Resolved Unexplained Events (Formerly Apparent Life-Threatening Events) and Evaluation of Lowe</t>
  </si>
  <si>
    <t>2016</t>
  </si>
  <si>
    <t>https://doi.org/10.1542/peds.2016-0590</t>
  </si>
  <si>
    <t>KAS 1G. Clinicians should not obtain an echocardiogram.</t>
  </si>
  <si>
    <t>54</t>
  </si>
  <si>
    <t>KAS 6A. Clinicians need not obtain measurement of serum lactic acid or serum bicarbonate.</t>
  </si>
  <si>
    <t>55</t>
  </si>
  <si>
    <t>AAP-OPIOID-2024</t>
  </si>
  <si>
    <t>Opioid Prescribing for Acute Pain Management in Children and Adolescents in Outpatient Settings</t>
  </si>
  <si>
    <t>https://doi.org/10.1542/peds.2024-068752</t>
  </si>
  <si>
    <t>Clinicians should provide naloxone and information on naloxone, safe storage and disposal of opioids, and direct observation of medication administration.</t>
  </si>
  <si>
    <t>56</t>
  </si>
  <si>
    <t>Caution should be used when treating acute pain in those who are taking sedating medications.</t>
  </si>
  <si>
    <t>57</t>
  </si>
  <si>
    <t>AAP-BP-2017</t>
  </si>
  <si>
    <t>Clinical Practice Guideline for Screening and Management of High Blood Pressure in Children and Adol</t>
  </si>
  <si>
    <t>https://doi.org/10.1542/peds.2017-1904</t>
  </si>
  <si>
    <t>ABPM should be performed by using a standardized approach (see Table 13) with monitors that have been validated in a pediatric population, and studies should be interpreted by using pediatric normativ</t>
  </si>
  <si>
    <t>58</t>
  </si>
  <si>
    <t>aap_otitis_media_2013</t>
  </si>
  <si>
    <t>The Diagnosis and Management of Acute Otitis Media</t>
  </si>
  <si>
    <t>2013</t>
  </si>
  <si>
    <t>https://doi.org/10.1542/peds.2012-3488</t>
  </si>
  <si>
    <t>The management of AOM should include an assessment of pain. If pain is present, the clinician should recommend treatment to reduce pain.</t>
  </si>
  <si>
    <t>59</t>
  </si>
  <si>
    <t>KAS 1C. Clinicians should not obtain a chest radiograph.</t>
  </si>
  <si>
    <t>60</t>
  </si>
  <si>
    <t>Routine performance of ABPM should be strongly considered in children and adolescents with high-risk conditions (see Table 12) to assess HTN severity and determine if abnormal circadian BP patterns ar</t>
  </si>
  <si>
    <t>61</t>
  </si>
  <si>
    <t>aap_bronchiolitis_2014</t>
  </si>
  <si>
    <t>The Diagnosis, Management, and Prevention of Bronchiolitis</t>
  </si>
  <si>
    <t>2014</t>
  </si>
  <si>
    <t>https://doi.org/10.1542/peds.2014-2742</t>
  </si>
  <si>
    <t>Clinicians should administer nasogastric or intravenous fluids for infants with a diagnosis of bronchiolitis who cannot maintain hydration orally</t>
  </si>
  <si>
    <t>62</t>
  </si>
  <si>
    <t>aasld_hepatitis_c_guidance_2019_update_aasldidsa_recomme</t>
  </si>
  <si>
    <t>AASLD</t>
  </si>
  <si>
    <t>Hepatology</t>
  </si>
  <si>
    <t>Hepatitis C Guidance 2019 Update: AASLD-IDSA Recommendations for Testing, Managing, and Treating Hep</t>
  </si>
  <si>
    <t>https://doi.org/10.1002/hep.31060</t>
  </si>
  <si>
    <t>16. Vaccination against hepatitis A and hepatitis B is recommended for all susceptible persons with HCV infection.</t>
  </si>
  <si>
    <t>63</t>
  </si>
  <si>
    <t>aasld_hepatic_encephalopathy_2014</t>
  </si>
  <si>
    <t>Hepatic Encephalopathy in Chronic Liver Disease: 2014 Practice Guideline by AASLD and EASL</t>
  </si>
  <si>
    <t>https://doi.org/10.1002/hep.27210</t>
  </si>
  <si>
    <t>Increased blood ammonia alone does not add any diagnostic, staging, or prognostic value for HE in patients with CLD. A normal value calls for diagnostic reevaluation.</t>
  </si>
  <si>
    <t>64</t>
  </si>
  <si>
    <t>aasld_hcc_2023</t>
  </si>
  <si>
    <t>AASLD Practice Guidance on prevention, diagnosis, and treatment of hepatocellular carcinoma</t>
  </si>
  <si>
    <t>https://doi.org/10.1097/HEP.0000000000000466</t>
  </si>
  <si>
    <t>a. Liver transplantation should be the treat- ment of choice for transplant-eligible patients with HCC that recur within Milan criteria after surgical resection (</t>
  </si>
  <si>
    <t>65</t>
  </si>
  <si>
    <t>44. AASLD advises against the combination of systemic therapy with transarterial therapies for BCLC Stage B HCC outside of a clinical trial setting (</t>
  </si>
  <si>
    <t>66</t>
  </si>
  <si>
    <t>31. Routine postoperative surveillance should be performed to detect recurrence using contrast-enhanced multiphasic CT or MRI every 3–6 months for all patients with HCC following liver resection (</t>
  </si>
  <si>
    <t>67</t>
  </si>
  <si>
    <t>aasld_liver_transplant_2025</t>
  </si>
  <si>
    <t>AASLD AST Practice Guideline on Adult Liver Transplantation: Candidate Evaluation</t>
  </si>
  <si>
    <t>https://doi.org/10.1097/HEP.0000000000001644</t>
  </si>
  <si>
    <t>Calcium supplementation, vitamin D repletion and weight-bearing exercise are recommended for patients with low bone mineral density prior to liver transplantation unless a contraindication has been id</t>
  </si>
  <si>
    <t>68</t>
  </si>
  <si>
    <t>Small meals or liquid nutritional supplements evenly distributed throughout the day and a late-night snack should be offered.</t>
  </si>
  <si>
    <t>69</t>
  </si>
  <si>
    <t>29. In patients with cirrhosis, surgical resection should be considered the treatment of choice for patients with limited tumor bur- den, well-compensated cirrhosis without clinically significant port</t>
  </si>
  <si>
    <t>70</t>
  </si>
  <si>
    <t>aasld_hepatitis_b_2016</t>
  </si>
  <si>
    <t>AASLD Guidelines for Treatment of Chronic Hepatitis B</t>
  </si>
  <si>
    <t>2015</t>
  </si>
  <si>
    <t>https://doi.org/10.1002/hep.28156</t>
  </si>
  <si>
    <t>The AASLD recommends against the use of antiviral therapy to reduce the risk of perinatal transmission of hepatitis B in the HBsAg-positive pregnant woman with an HBV DNA &lt;=200,000 IU/mL.</t>
  </si>
  <si>
    <t>71</t>
  </si>
  <si>
    <t>A diagnostic workup is required, considering other disorders that can alter brain function and mimic HE.</t>
  </si>
  <si>
    <t>72</t>
  </si>
  <si>
    <t>2. Vaccination for HBV infection should be given in all newborns as well as high-risk adults who failed to receive vaccination at birth to reduce the risk of HCC (</t>
  </si>
  <si>
    <t>73</t>
  </si>
  <si>
    <t>Daily protein intake should be 1.2-1.5 g/kg/day.</t>
  </si>
  <si>
    <t>74</t>
  </si>
  <si>
    <t>acg_gerd_2022</t>
  </si>
  <si>
    <t>ACG</t>
  </si>
  <si>
    <t>Gastroenterology</t>
  </si>
  <si>
    <t>ACG Clinical Guideline for the Diagnosis and Management of Gastroesophageal Reflux Disease</t>
  </si>
  <si>
    <t>https://doi.org/10.14309/ajg.0000000000001538</t>
  </si>
  <si>
    <t>We recommend esophageal pH monitoring (Bravo, catheter-based, or combined impedance-pH monitoring) performed off PPIs if the diagnosis of GERD has not been established by a previous pH monitoring stud</t>
  </si>
  <si>
    <t>75</t>
  </si>
  <si>
    <t>acg_barretts_esophagus_2022</t>
  </si>
  <si>
    <t>Diagnosis and Management of Barrett's Esophagus: An Updated ACG Guideline</t>
  </si>
  <si>
    <t>https://doi.org/10.14309/ajg.0000000000001680</t>
  </si>
  <si>
    <t>We suggest at least once-a-day PPI therapy in patients with BE without allergy or other contraindication to PPI use (strength of recommendation: conditional; quality of evidence: very low).</t>
  </si>
  <si>
    <t>Very Low</t>
  </si>
  <si>
    <t>76</t>
  </si>
  <si>
    <t>acg_crohns_2025</t>
  </si>
  <si>
    <t>ACG Clinical Guideline: Management of Crohn's Disease in Adults (2025 Update)</t>
  </si>
  <si>
    <t>https://doi.org/10.14309/ajg.0000000000003465</t>
  </si>
  <si>
    <t>In patients with high-risk CD, we recommend anti-TNF therapy to prevent postoperative endoscopic recurrence.</t>
  </si>
  <si>
    <t>77</t>
  </si>
  <si>
    <t>acg_disorders_of_hepatic_and_mesenteric_circulation_2020</t>
  </si>
  <si>
    <t>Disorders of Hepatic and Mesenteric Circulation</t>
  </si>
  <si>
    <t>https://doi.org/10.14309/ajg.0000000000000486</t>
  </si>
  <si>
    <t>We suggest anticoagulation for patients with chronic PVT if there is (i) evidence of inherited or acquired thrombophilia, (ii) progression of thrombus into the mesenteric veins, or (iii) current or pr</t>
  </si>
  <si>
    <t>78</t>
  </si>
  <si>
    <t>We recommend TPMT testing before initial use of azathioprine or 6-mercaptopurine to treat patients with CD.</t>
  </si>
  <si>
    <t>79</t>
  </si>
  <si>
    <t>For patients who have both extraesophageal and typical GERD symptoms, we suggest considering a trial of twice-daily PPI therapy for 8-12 weeks before additional testing.</t>
  </si>
  <si>
    <t>80</t>
  </si>
  <si>
    <t>acg_uc_2025</t>
  </si>
  <si>
    <t>ACG Clinical Guideline Update: Ulcerative Colitis in Adults (2025)</t>
  </si>
  <si>
    <t>https://doi.org/10.14309/ajg.0000000000003463</t>
  </si>
  <si>
    <t>We recommend continuing ustekinumab for maintenance of remission as compared to no treatment in patients who responded to the induction dose of this medication</t>
  </si>
  <si>
    <t>81</t>
  </si>
  <si>
    <t>acg_alcohol_liver_disease_2024</t>
  </si>
  <si>
    <t>ACG Clinical Guideline: Alcohol-Associated Liver Disease</t>
  </si>
  <si>
    <t>https://doi.org/10.14309/ajg.0000000000002572</t>
  </si>
  <si>
    <t>In patients undergoing or with a history of gastric bypass surgery, we recommend avoidance of heavy alcohol use.</t>
  </si>
  <si>
    <t>82</t>
  </si>
  <si>
    <t>We recommend stool testing to rule out Clostridioides difficile in patients suspected of having UC</t>
  </si>
  <si>
    <t>83</t>
  </si>
  <si>
    <t>acg_chronic_pancreatitis_2020</t>
  </si>
  <si>
    <t>ACG Clinical Guideline: Chronic Pancreatitis</t>
  </si>
  <si>
    <t>https://doi.org/10.14309/ajg.0000000000000535</t>
  </si>
  <si>
    <t>We suggest histological examination as the gold standard to diagnose CP in high-risk patients when the clinical and functional evidence of CP is strong, but imaging modalities are inconclusive.</t>
  </si>
  <si>
    <t>84</t>
  </si>
  <si>
    <t>acg_crc_screening_2021</t>
  </si>
  <si>
    <t>ACG Clinical Guidelines: Colorectal Cancer Screening 2021</t>
  </si>
  <si>
    <t>https://doi.org/10.14309/ajg.0000000000001122</t>
  </si>
  <si>
    <t>We suggest the following strategies to improve adherence to screening: patient navigation, patient reminders, clinician interventions, provider recommendations, and clinical decision support tools.</t>
  </si>
  <si>
    <t>85</t>
  </si>
  <si>
    <t>acg_acg_clinical_guideline_genetic_testing_and_managem</t>
  </si>
  <si>
    <t>ACG Clinical Guideline: Genetic Testing and Management of Hereditary Gastrointestinal Cancer Syndrom</t>
  </si>
  <si>
    <t>https://doi.org/10.1038/ajg.2014.435</t>
  </si>
  <si>
    <t>Surveillance of individuals with a genetic predisposition for pancreatic adenocarcinoma should ideally be performed in experienced centers utilizing a multidisciplinary approach.</t>
  </si>
  <si>
    <t>86</t>
  </si>
  <si>
    <t>acg_ibs_2021</t>
  </si>
  <si>
    <t>ACG Clinical Guideline: Management of Irritable Bowel Syndrome</t>
  </si>
  <si>
    <t>https://doi.org/10.14309/ajg.0000000000001036</t>
  </si>
  <si>
    <t>We suggest the use of peppermint to provide relief of global IBS symptoms.</t>
  </si>
  <si>
    <t>87</t>
  </si>
  <si>
    <t>acg_acute_liver_failure_2023</t>
  </si>
  <si>
    <t>ACG Clinical Guideline: Acute Liver Failure</t>
  </si>
  <si>
    <t>https://doi.org/10.14309/ajg.0000000000002340</t>
  </si>
  <si>
    <t>In patients with ALF and grade 2 or higher encephalopathy, we suggest early CRRT for the management of hyperammonemia even in the absence of conventional RRT indications.</t>
  </si>
  <si>
    <t>88</t>
  </si>
  <si>
    <t>acg_nutrition_hospitalized_2016</t>
  </si>
  <si>
    <t>ACG Clinical Guideline: Nutrition Therapy in the Adult Hospitalized Patient</t>
  </si>
  <si>
    <t>https://doi.org/10.1038/ajg.2016.28</t>
  </si>
  <si>
    <t>A patient who inadvertently dislodges a recently placed percutaneous gastrostomy tube (&lt;7-10-day old) should be brought back immediately to the endoscopy or radiology suite and a new tube placed endos</t>
  </si>
  <si>
    <t>89</t>
  </si>
  <si>
    <t>Use of traditional nutrition indicators (albumin, pre-albumin, transferrin, and anthropometry) should be avoided</t>
  </si>
  <si>
    <t>90</t>
  </si>
  <si>
    <t>We suggest 6 months of anticoagulation in patients with cirrhosis and acute portal or MVT. Anticoagulation is continued beyond this period in patients with portal or mesenteric vein thrombosis who are</t>
  </si>
  <si>
    <t>91</t>
  </si>
  <si>
    <t>acg_cdiff_2021</t>
  </si>
  <si>
    <t>ACG Clinical Guidelines: Prevention, Diagnosis, and Treatment of Clostridioides difficile Infections</t>
  </si>
  <si>
    <t>https://doi.org/10.14309/ajg.0000000000001278</t>
  </si>
  <si>
    <t xml:space="preserve">15. We recommend FMT be delivered through colonoscopy (strong recommendation, moderate quality of evidence) or capsules (strong recommendation, moderate quality of evidence) for treatment of rCDI; we </t>
  </si>
  <si>
    <t>92</t>
  </si>
  <si>
    <t>acg_gastroparesis_2022</t>
  </si>
  <si>
    <t>ACG Clinical Guideline: Gastroparesis</t>
  </si>
  <si>
    <t>https://doi.org/10.14309/ajg.0000000000001874</t>
  </si>
  <si>
    <t>Dietary management of gastroparesis should include a small particle diet to increase likelihood of symptom relief and enhanced gastric emptying.</t>
  </si>
  <si>
    <t>93</t>
  </si>
  <si>
    <t>acg_american_gastroenterological_association_american_college_of</t>
  </si>
  <si>
    <t>American Gastroenterological Association-American College of Gastroenterology Clinical Practice Guid</t>
  </si>
  <si>
    <t>https://doi.org/10.1053/j.gastro.2023.03.214</t>
  </si>
  <si>
    <t>In adults with CIC, the panel suggests the use of senna over management without senna.</t>
  </si>
  <si>
    <t>94</t>
  </si>
  <si>
    <t>We recommend alcohol cessation in patients with CP.</t>
  </si>
  <si>
    <t>95</t>
  </si>
  <si>
    <t>We recommend against the use of aspirin as a substitute for CRC screening.</t>
  </si>
  <si>
    <t>96</t>
  </si>
  <si>
    <t>acg_hpylori_2024</t>
  </si>
  <si>
    <t>ACG Clinical Guideline: Treatment of Helicobacter pylori Infection (2024 Update)</t>
  </si>
  <si>
    <t>https://doi.org/10.14309/ajg.0000000000002968</t>
  </si>
  <si>
    <t>In treatment-experienced patients with persistent H. pylori infection who have not previously received bismuth quadruple therapy, optimized bismuth quadruple therapy is suggested</t>
  </si>
  <si>
    <t>97</t>
  </si>
  <si>
    <t>We recommend antireflux surgery performed by an experienced surgeon as an option for long-term treatment of patients with objective evidence of GERD, particularly those who have severe reflux esophagi</t>
  </si>
  <si>
    <t>98</t>
  </si>
  <si>
    <t>2. We recommend against probiotics for the prevention of CDI recurrence (secondary prevention)</t>
  </si>
  <si>
    <t>99</t>
  </si>
  <si>
    <t>acog_medication_abortion_up_to_70_days_of_gestation_2020</t>
  </si>
  <si>
    <t>ACOG</t>
  </si>
  <si>
    <t>Obstetrics &amp; Gynaecology</t>
  </si>
  <si>
    <t>Medication Abortion Up to 70 Days of Gestation</t>
  </si>
  <si>
    <t>https://doi.org/10.1097/AOG.0000000000004082</t>
  </si>
  <si>
    <t>Patients can safely and effectively use mifepristone at home for medication abortion.</t>
  </si>
  <si>
    <t>100</t>
  </si>
  <si>
    <t>Ongoing pregnancy after medication abortion can be treated with a repeat dose of misoprostol or uterine aspiration, depending on the clinical circumstances and patient preference.</t>
  </si>
  <si>
    <t>101</t>
  </si>
  <si>
    <t>Clinicians who wish to provide medication abortion services should be trained to perform uterine evacuation procedures or should be able to refer to a clinician who has this training.</t>
  </si>
  <si>
    <t>102</t>
  </si>
  <si>
    <t>ACP-OSTEO-2017</t>
  </si>
  <si>
    <t>ACP</t>
  </si>
  <si>
    <t>Rheumatology</t>
  </si>
  <si>
    <t xml:space="preserve">Treatment of Low Bone Density or Osteoporosis to Prevent Fractures: ACP Clinical Practice Guideline </t>
  </si>
  <si>
    <t>https://doi.org/10.7326/M15-1361</t>
  </si>
  <si>
    <t>Clinicians should treat osteoporotic women with pharmacologic therapy for 5 years.</t>
  </si>
  <si>
    <t>103</t>
  </si>
  <si>
    <t>Clinicians should offer pharmacologic treatment with alendronate, risedronate, zoledronic acid, or denosumab to reduce the risk for hip and vertebral fractures in women with known osteoporosis.</t>
  </si>
  <si>
    <t>104</t>
  </si>
  <si>
    <t>ACP-LBP-2017</t>
  </si>
  <si>
    <t>Noninvasive Treatments for Acute, Subacute, and Chronic Low Back Pain: ACP Clinical Practice Guideli</t>
  </si>
  <si>
    <t>https://doi.org/10.7326/M16-2367</t>
  </si>
  <si>
    <t>In patients with chronic low back pain who have had an inadequate response to nonpharmacologic therapy, clinicians and patients should consider pharmacologic treatment with nonsteroidal anti-inflammat</t>
  </si>
  <si>
    <t>105</t>
  </si>
  <si>
    <t>acr_gout_2020</t>
  </si>
  <si>
    <t>ACR</t>
  </si>
  <si>
    <t>2020 American College of Rheumatology Guideline for Management of Gout</t>
  </si>
  <si>
    <t>https://doi.org/10.1002/art.41247</t>
  </si>
  <si>
    <t>For patients with gout taking febuxostat with a history of CVD or a new CV event, we conditionally recommend switching to an alternative ULT agent if available and consistent with other recommendation</t>
  </si>
  <si>
    <t>106</t>
  </si>
  <si>
    <t>pmc_8218333</t>
  </si>
  <si>
    <t>2018 American College of Rheumatology/National Psoriasis Foundation Guideline for the Treatment of P</t>
  </si>
  <si>
    <t>https://doi.org/10.1002/art.40726</t>
  </si>
  <si>
    <t>Switch to a TNFi biologic over an IL-17i biologic (PICO 17)</t>
  </si>
  <si>
    <t>107</t>
  </si>
  <si>
    <t>pmc_10291822</t>
  </si>
  <si>
    <t>Vaccinations in RMD</t>
  </si>
  <si>
    <t>https://doi.org/10.1002/acr.25045</t>
  </si>
  <si>
    <t>For patients with RMD who are taking immunosuppressive medication, deferring live attenuated vaccines is conditionally recommended.</t>
  </si>
  <si>
    <t>108</t>
  </si>
  <si>
    <t>pmc_10947582</t>
  </si>
  <si>
    <t>2022 American College of Rheumatology (ACR) Guideline for Exercise, Rehabilitation, Diet, and Additi</t>
  </si>
  <si>
    <t>https://doi.org/10.1002/art.42507</t>
  </si>
  <si>
    <t>We conditionally recommend participation in comprehensive occupational therapy over no comprehensive occupational therapy.</t>
  </si>
  <si>
    <t>109</t>
  </si>
  <si>
    <t>acr_jia_therapeutic_2019</t>
  </si>
  <si>
    <t>2019 American College of Rheumatology/Arthritis Foundation Guideline for the Treatment of Juvenile I</t>
  </si>
  <si>
    <t>https://doi.org/10.1002/art.40884</t>
  </si>
  <si>
    <t>In children and adolescents with JIA and polyarthritis who have or are at risk of functional limitations, using physical therapy is conditionally recommended.</t>
  </si>
  <si>
    <t>110</t>
  </si>
  <si>
    <t>acr_axspa_2019</t>
  </si>
  <si>
    <t>2019 Update ACR/SAA/SPARTAN Recommendations for Ankylosing Spondylitis and Nonradiographic Axial Spo</t>
  </si>
  <si>
    <t>https://doi.org/10.1002/art.41042</t>
  </si>
  <si>
    <t>We do not recommend any particular NSAID as the preferred choice.</t>
  </si>
  <si>
    <t>111</t>
  </si>
  <si>
    <t>Start oral NSAIDs over an OSM (specifically apremilast) (PICO 48)</t>
  </si>
  <si>
    <t>112</t>
  </si>
  <si>
    <t>acr_osteoarthritis_hand_hip_knee_2019</t>
  </si>
  <si>
    <t>ACR Osteoarthritis Hand Hip Knee</t>
  </si>
  <si>
    <t>https://doi.org/10.1002/art.41142</t>
  </si>
  <si>
    <t>Strongly recommended for self-efficacy and self-management programs for knee OA.</t>
  </si>
  <si>
    <t>No</t>
  </si>
  <si>
    <t>Not an official recommendation</t>
  </si>
  <si>
    <t>113</t>
  </si>
  <si>
    <t>For patients who are currently employed or want to become employed, we conditionally recommend use of vocational rehabilitation (training programs to support employment) over no vocational rehabilitat</t>
  </si>
  <si>
    <t>No studies met eligibility criteria</t>
  </si>
  <si>
    <t>114</t>
  </si>
  <si>
    <t>For patients with asymptomatic hyperuricemia (SU &gt;6.8 mg/dl with no prior gout flares or subcutaneous tophi), we conditionally recommend against initiating any pharmacologic ULT (allopurinol, febuxost</t>
  </si>
  <si>
    <t>115</t>
  </si>
  <si>
    <t>Switch to a different TNFi biologic over switching to abatacept (PICO 70)</t>
  </si>
  <si>
    <t>116</t>
  </si>
  <si>
    <t>acr_ra_2021</t>
  </si>
  <si>
    <t>2021 American College of Rheumatology Guideline for the Treatment of Rheumatoid Arthritis</t>
  </si>
  <si>
    <t>https://doi.org/10.1002/art.41752</t>
  </si>
  <si>
    <t>Use of the lowest possible dose of glucocorticoids (discontinuation if possible) is conditionally recommended over continuation of glucocorticoids for patients with nontuberculous mycobacterial lung d</t>
  </si>
  <si>
    <t>117</t>
  </si>
  <si>
    <t>In adults with active AS, we conditionally recommend against using a treat-to-target strategy using a target of ASDAS &lt;1.3 (or 2.1) over a treatment strategy based on physician assessment.</t>
  </si>
  <si>
    <t>118</t>
  </si>
  <si>
    <t>Start a TNFi biologic over an OSM (specifically apremilast) (PICO 48A)</t>
  </si>
  <si>
    <t>119</t>
  </si>
  <si>
    <t>In adults with active nonradiographic axial SpA despite treatment with NSAIDs, we conditionally recommend treatment with TNFi over treatment with tofacitinib.</t>
  </si>
  <si>
    <t>120</t>
  </si>
  <si>
    <t>Switch to a different TNFi biologic over switching to an IL-17i biologic (PICO 28)</t>
  </si>
  <si>
    <t>121</t>
  </si>
  <si>
    <t>acr_2023_american_college_of_rheumatology_acr_ame</t>
  </si>
  <si>
    <t>2023 American College of Rheumatology (ACR)/American College of Chest Physicians (CHEST) Guideline f</t>
  </si>
  <si>
    <t>https://doi.org/10.1002/art.42860</t>
  </si>
  <si>
    <t>For people with SARDs at increased risk of developing ILD, we strongly recommend against screening with surgical lung biopsy.</t>
  </si>
  <si>
    <t>122</t>
  </si>
  <si>
    <t>In adults with inflammatory bowel disease, we conditionally recommend treatment with TNFi monoclonal antibodies over treatment with other biologics.</t>
  </si>
  <si>
    <t>123</t>
  </si>
  <si>
    <t>pmc_12320478</t>
  </si>
  <si>
    <t>2022 American College of Rheumatology Guideline for Vaccinations in Patients With Rheumatic and Musc</t>
  </si>
  <si>
    <t>https://doi.org/10.1002/art.42386</t>
  </si>
  <si>
    <t>For neonates/infants with second- and/or third-trimester antenatal exposure to rituximab, delaying live attenuated rotavirus vaccine until &gt;6 months of age is conditionally recommended.</t>
  </si>
  <si>
    <t>124</t>
  </si>
  <si>
    <t>Switch to a TNFi biologic over switching to a different IL-17i biologic (PICO 42)</t>
  </si>
  <si>
    <t>125</t>
  </si>
  <si>
    <t>In children and adolescents with JIA and active polyarthritis initiating treatment with tocilizumab, combination therapy with a DMARD is conditionally recommended over biologic monotherapy.</t>
  </si>
  <si>
    <t>126</t>
  </si>
  <si>
    <t>acr_vasculitis_anca_2021</t>
  </si>
  <si>
    <t>2021 ACR/Vasculitis Foundation Guideline for the Management of ANCA-Associated Vasculitis</t>
  </si>
  <si>
    <t>https://doi.org/10.1002/art.41773</t>
  </si>
  <si>
    <t>For patients with active, nonsevere GPA, we conditionally recommend initiating treatment with methotrexate and glucocorticoids over azathioprine and glucocorticoids or mycophenolate mofetil and glucoc</t>
  </si>
  <si>
    <t>127</t>
  </si>
  <si>
    <t>Oral methotrexate is conditionally recommended over subcutaneous methotrexate for patients initiating methotrexate.</t>
  </si>
  <si>
    <t>128</t>
  </si>
  <si>
    <t>Conditionally recommended for radiofrequency ablation for knee OA.</t>
  </si>
  <si>
    <t>129</t>
  </si>
  <si>
    <t>Conditionally recommended for acetaminophen for knee OA.</t>
  </si>
  <si>
    <t>130</t>
  </si>
  <si>
    <t>Methotrexate monotherapy is strongly recommended over combination of methotrexate plus a non-TNF inhibitor bDMARD or tsDMARD for DMARD-naive patients with moderate-to-high disease activity.</t>
  </si>
  <si>
    <t>131</t>
  </si>
  <si>
    <t>In adults with active or stable nonradiographic axial SpA on any treatment, we conditionally recommend against obtaining repeat spine radiographs at a scheduled interval (e.g., every 2 years) as a sta</t>
  </si>
  <si>
    <t>132</t>
  </si>
  <si>
    <t>ada_soc_ch7_technology_2025</t>
  </si>
  <si>
    <t>ADA</t>
  </si>
  <si>
    <t>ADA Standards of Care 2025 - Ch.7: Diabetes Technology</t>
  </si>
  <si>
    <t>https://doi.org/10.2337/dc25-S007</t>
  </si>
  <si>
    <t>Diabetes devices should be offered to people with diabetes.</t>
  </si>
  <si>
    <t>133</t>
  </si>
  <si>
    <t>ada_soc_ch9_pharmacologic_2025</t>
  </si>
  <si>
    <t>ADA Standards of Care 2025 - Ch.9: Pharmacologic Approaches to Glycemic Treatment</t>
  </si>
  <si>
    <t>https://doi.org/10.2337/dc25-S009</t>
  </si>
  <si>
    <t xml:space="preserve">When initiating a new glucose-lowering medication, reassess the need for and/or dose of medications with higher hypoglycemia risk (i.e., sulfonylureas, meglitinides, and insulin) to minimize the risk </t>
  </si>
  <si>
    <t>134</t>
  </si>
  <si>
    <t>ada_soc_ch14_children_2025</t>
  </si>
  <si>
    <t>ADA Standards of Care 2025 - Ch.14: Children and Adolescents</t>
  </si>
  <si>
    <t>https://doi.org/10.2337/dc25-S014</t>
  </si>
  <si>
    <t>Routine screening for heart disease with electrocardiogram, echocardiogram, or stress testing is not recommended in asymptomatic youth with type 2 diabetes.</t>
  </si>
  <si>
    <t>135</t>
  </si>
  <si>
    <t>ada_soc_ch10_cvd_2025</t>
  </si>
  <si>
    <t>ADA Standards of Care 2025 - Ch.10: Cardiovascular Disease and Risk Management</t>
  </si>
  <si>
    <t>https://doi.org/10.2337/dc25-S010</t>
  </si>
  <si>
    <t>Counsel all people with hypertension and diabetes to monitor their blood pressure at home after appropriate education.</t>
  </si>
  <si>
    <t>136</t>
  </si>
  <si>
    <t xml:space="preserve">In adults with type 2 diabetes who have not achieved their individualized weight goals, additional weight management interventions (e.g., intensification of lifestyle modifications, structured weight </t>
  </si>
  <si>
    <t>137</t>
  </si>
  <si>
    <t>ada_soc_ch16_hospital_2025</t>
  </si>
  <si>
    <t>ADA Standards of Care 2025 - Ch.16: Diabetes Care in the Hospital</t>
  </si>
  <si>
    <t>https://doi.org/10.2337/dc25-S016</t>
  </si>
  <si>
    <t>Insulin and/or other glucose-lowering therapies should be initiated or intensified for treatment of persistent hyperglycemia starting at a threshold of ≥180 mg/dL (≥10.0 mmol/L) (confirmed on two occa</t>
  </si>
  <si>
    <t>138</t>
  </si>
  <si>
    <t>ada_soc_ch11_ckd_2025</t>
  </si>
  <si>
    <t>ADA Standards of Care 2025 - Ch.11: Chronic Kidney Disease and Risk Management</t>
  </si>
  <si>
    <t>https://doi.org/10.2337/dc25-S011</t>
  </si>
  <si>
    <t>To reduce cardiovascular events and CKD progression in people with CKD and albuminuria, a nonsteroidal MRA that has been shown to be effective in clinical trials is recommended (if eGFR is ≥25 mL/min/</t>
  </si>
  <si>
    <t>139</t>
  </si>
  <si>
    <t>In individuals with diabetes with established ASCVD or aged ≥55 years with additional cardiovascular risk factors, ACE inhibitor or ARB therapy is recommended to reduce the risk of cardiovascular even</t>
  </si>
  <si>
    <t>140</t>
  </si>
  <si>
    <t>For people with diabetes aged 20–39 years with additional ASCVD risk factors, it may be reasonable to initiate statin therapy in addition to lifestyle therapy.</t>
  </si>
  <si>
    <t>141</t>
  </si>
  <si>
    <t>For patients with type 2 diabetes and CKD, use of an SGLT2 inhibitor is recommended to reduce CKD progression and cardiovascular events in patients with an eGFR &gt;=20 mL/min/1.73 m2 and urinary albumin</t>
  </si>
  <si>
    <t>142</t>
  </si>
  <si>
    <t>ada_soc_ch12_complications_2025</t>
  </si>
  <si>
    <t>ADA Standards of Care 2025 - Ch.12: Retinopathy, Neuropathy, and Foot Care</t>
  </si>
  <si>
    <t>https://doi.org/10.2337/dc25-S012</t>
  </si>
  <si>
    <t>Assessment for distal symmetric polyneuropathy should include a careful history and assessment of either temperature or pinprick sensation (small-fiber function) and vibration sensation using a 128-Hz</t>
  </si>
  <si>
    <t>143</t>
  </si>
  <si>
    <t>Annual screening for albuminuria with a random (morning sample preferred to avoid effects of exercise) spot urine sample for albumin-to-creatinine ratio should be considered at puberty or at age &gt;10 y</t>
  </si>
  <si>
    <t>144</t>
  </si>
  <si>
    <t>Starting at puberty, preconception counseling should be incorporated into routine diabetes clinic visits for all individuals of childbearing potential.</t>
  </si>
  <si>
    <t>145</t>
  </si>
  <si>
    <t>ada_soc_ch6_glycemic_goals_2025</t>
  </si>
  <si>
    <t>ADA Standards of Care 2025 - Ch.6: Glycemic Goals and Hypoglycemia</t>
  </si>
  <si>
    <t>https://doi.org/10.2337/dc25-S006</t>
  </si>
  <si>
    <t>One or more episodes of level 2 or 3 hypoglycemia should prompt reevaluation of the treatment plan, including deintensifying or switching diabetes medications if appropriate.</t>
  </si>
  <si>
    <t>E</t>
  </si>
  <si>
    <t>146</t>
  </si>
  <si>
    <t>Based on health care professional judgment and the preference of the person with diabetes, achievement of lower A1C levels than the goal of 7% (53 mmol/mol) may be acceptable and even beneficial if it</t>
  </si>
  <si>
    <t>147</t>
  </si>
  <si>
    <t>In most circumstances, lipid-lowering agents should be stopped prior to conception and avoided in sexually active individuals of childbearing potential who are not using reliable contraception. B In s</t>
  </si>
  <si>
    <t>148</t>
  </si>
  <si>
    <t>ada_soc_ch8_obesity_2025</t>
  </si>
  <si>
    <t>ADA Standards of Care 2025 - Ch.8: Obesity and Weight Management for Prevention and Treatment of Typ</t>
  </si>
  <si>
    <t>https://doi.org/10.2337/dc25-S008</t>
  </si>
  <si>
    <t>To support the diagnosis of obesity, measure height and weight to calculate BMI and perform additional measurements of body fat distribution, like waist circumference, waist-to-hip ratio, and/or waist</t>
  </si>
  <si>
    <t>149</t>
  </si>
  <si>
    <t>ada_soc_ch2_diagnosis_2025</t>
  </si>
  <si>
    <t>ADA Standards of Care 2025 - Ch.2: Diagnosis and Classification of Diabetes</t>
  </si>
  <si>
    <t>https://doi.org/10.2337/dc25-S002</t>
  </si>
  <si>
    <t>To screen for prediabetes and type 2 diabetes, FPG, 2-h PG during 75-g OGTT, and A1C are each appropriate (Table 2.1 and Table 2.2).</t>
  </si>
  <si>
    <t>150</t>
  </si>
  <si>
    <t>Optimize blood pressure management (aim for &lt;130/80 mmHg [Fig. 10.2]) and reduce blood pressure variability to reduce the risk or slow the progression of CKD and reduce cardiovascular risk.</t>
  </si>
  <si>
    <t>151</t>
  </si>
  <si>
    <t>In people with type 2 diabetes and established ASCVD, multiple ASCVD risk factors, or chronic kidney disease (CKD), an SGLT2 inhibitor with demonstrated cardiovascular benefit is recommended to reduce</t>
  </si>
  <si>
    <t>152</t>
  </si>
  <si>
    <t>All people with diabetes should be assessed for diabetic peripheral neuropathy starting at diagnosis of type 2 diabetes and 5 years after the diagnosis of type 1 diabetes and at least annually thereaf</t>
  </si>
  <si>
    <t>153</t>
  </si>
  <si>
    <t>ada_soc_ch4_comprehensive_eval_2025</t>
  </si>
  <si>
    <t>ADA Standards of Care 2025 - Ch.4: Comprehensive Medical Evaluation and Assessment of Comorbidities</t>
  </si>
  <si>
    <t>https://doi.org/10.2337/dc25-S004</t>
  </si>
  <si>
    <t>Adults with type 2 diabetes or prediabetes with a FIB-4 ≥1.3 should have additional risk stratification by liver stiffness measurement with transient elastography, or, if unavailable, the enhanced liv</t>
  </si>
  <si>
    <t>154</t>
  </si>
  <si>
    <t>Metformin, in addition to lifestyle modification, is likely to improve the menstrual cyclicity and hyperandrogenism in female individuals with type 2 diabetes.</t>
  </si>
  <si>
    <t>155</t>
  </si>
  <si>
    <t>ada_soc_ch5_health_behaviors_2025</t>
  </si>
  <si>
    <t>ADA Standards of Care 2025 - Ch.5: Facilitating Positive Health Behaviors and Well-being</t>
  </si>
  <si>
    <t>https://doi.org/10.2337/dc25-S005</t>
  </si>
  <si>
    <t>For diabetes prevention and management, recommend individualized meal plans that keep nutrient quality, total calories, and metabolic goals in mind.</t>
  </si>
  <si>
    <t>156</t>
  </si>
  <si>
    <t xml:space="preserve">In people with diabetes on insulin therapy, rtCGM devices should be used as close to daily as possible for maximal benefit. A isCGM devices should be scanned frequently, at minimum once every 8 h, to </t>
  </si>
  <si>
    <t>157</t>
  </si>
  <si>
    <t>In adults with type 2 diabetes who have CKD (with confirmed estimated glomerular filtration rate 20-60 mL/min/1.73 m2 and/or albuminuria), an SGLT2 inhibitor or GLP-1 RA with demonstrated benefit in t</t>
  </si>
  <si>
    <t>158</t>
  </si>
  <si>
    <t>Blood pressure should be measured at every routine clinical visit, or at least every 6 months. Individuals found to have elevated blood pressure without a diagnosis of hypertension (systolic blood pre</t>
  </si>
  <si>
    <t>159</t>
  </si>
  <si>
    <t>To reduce the risk of falls and fractures, glycemic management goals should be individualized for people with diabetes at a higher risk of fracture. C Prioritize use of glucose-lowering medications th</t>
  </si>
  <si>
    <t>160</t>
  </si>
  <si>
    <t>aes_infantile_epilepsy_2026</t>
  </si>
  <si>
    <t>AES</t>
  </si>
  <si>
    <t>American Epilepsy Society Clinical Practice Guideline: Infantile Epilepsy</t>
  </si>
  <si>
    <t>https://doi.org/10.1177/15357597261433266</t>
  </si>
  <si>
    <t>For infants and children 1 month to &lt;36 months of age diagnosed with DRE, the AES guideline panel suggests treatment with topiramate rather than no topiramate.</t>
  </si>
  <si>
    <t>Low Certainty of Evidence</t>
  </si>
  <si>
    <t>161</t>
  </si>
  <si>
    <t>For infants and children 1 month to &lt;36 months of age diagnosed with drug-resistant epilepsy, the AES guideline panel suggests a ketogenic diet rather than no ketogenic diet.</t>
  </si>
  <si>
    <t>162</t>
  </si>
  <si>
    <t>aes_convulsive_status_epilepticus_2016</t>
  </si>
  <si>
    <t xml:space="preserve">Evidence-Based Guideline: Treatment of Convulsive Status Epilepticus in Children and Adults: Report </t>
  </si>
  <si>
    <t>https://doi.org/10.5698/1535-7597-16.1.48</t>
  </si>
  <si>
    <t>Insufficient data exist in adults about the efficacy of levetiracetam as either initial or second therapy.</t>
  </si>
  <si>
    <t>Level U</t>
  </si>
  <si>
    <t>163</t>
  </si>
  <si>
    <t>aga_crohn_pharmacologic_living_2025</t>
  </si>
  <si>
    <t>AGA</t>
  </si>
  <si>
    <t>AGA Living Clinical Practice Guideline on the Pharmacologic Management of Moderate-to-Severe Crohn's</t>
  </si>
  <si>
    <t>https://doi.org/10.1053/j.gastro.2025.09.038</t>
  </si>
  <si>
    <t>In adult outpatients with moderate-to-severely active CD who are naive to advanced therapies, the AGA suggests using a higher efficacy medication (infliximab, adalimumab, vedolizumab, ustekinumab, ris</t>
  </si>
  <si>
    <t>164</t>
  </si>
  <si>
    <t>aga_biomarkers_crohn_disease_2023</t>
  </si>
  <si>
    <t>AGA Biomarkers Crohn Disease</t>
  </si>
  <si>
    <t>https://doi.org/10.1053/j.gastro.2023.09.029</t>
  </si>
  <si>
    <t>In patients with CD with mild symptoms and elevated biomarkers of inﬂammation (fecal calprotectin &gt;150 mg/g, CRP &gt;5 mg/L), the AGA suggests endoscopic assessment of disease activity rather than empiri</t>
  </si>
  <si>
    <t>165</t>
  </si>
  <si>
    <t>In patients with CD in symptomatic remission without recent conﬁrmation of endoscopic remission, the AGA suggests endoscopic evaluation to rule out active inﬂammation, rather than relying solely on fe</t>
  </si>
  <si>
    <t>Low to Moderate</t>
  </si>
  <si>
    <t>0.625</t>
  </si>
  <si>
    <t>166</t>
  </si>
  <si>
    <t>AGS-BEERS-2023</t>
  </si>
  <si>
    <t>AGS</t>
  </si>
  <si>
    <t>Geriatric Medicine</t>
  </si>
  <si>
    <t>American Geriatrics Society 2023 Updated AGS Beers Criteria for Potentially Inappropriate Medication</t>
  </si>
  <si>
    <t>https://doi.org/10.1111/jgs.18372</t>
  </si>
  <si>
    <t>Meperidine: Avoid. Oral analgesic not effective in dosages commonly used; may have higher risk of neurotoxicity including delirium than other opioids; safer alternatives available</t>
  </si>
  <si>
    <t>167</t>
  </si>
  <si>
    <t>Syncope: Acetylcholinesterase inhibitors (donepezil, galantamine, rivastigmine): Avoid. AChEIs cause bradycardia and should be avoided in older adults whose syncope may be due to bradycardia</t>
  </si>
  <si>
    <t>168</t>
  </si>
  <si>
    <t>Digoxin for first-line treatment of atrial fibrillation or heart failure: Avoid as first-line rate control agent for atrial fibrillation. Avoid as first-line therapy for heart failure. If used for atr</t>
  </si>
  <si>
    <t>169</t>
  </si>
  <si>
    <t>Non-selective peripheral alpha-1 blockers + loop diuretics: Avoid in older women, unless conditions warrant both drugs. Increased risk of urinary incontinence in older women</t>
  </si>
  <si>
    <t>170</t>
  </si>
  <si>
    <t>Syncope: Antipsychotics (selected: chlorpromazine, olanzapine), non-selective peripheral alpha-1 blockers, tertiary tricyclic antidepressants (amitriptyline, clomipramine, doxepin, imipramine): Avoid.</t>
  </si>
  <si>
    <t>171</t>
  </si>
  <si>
    <t>aha_pe_2026</t>
  </si>
  <si>
    <t>AHA/ACC</t>
  </si>
  <si>
    <t>Cardiology</t>
  </si>
  <si>
    <t>AHA/ACC Guideline for the Diagnosis and Management of Acute Pulmonary Embolism</t>
  </si>
  <si>
    <t>https://doi.org/10.1016/j.jacc.2025.11.005</t>
  </si>
  <si>
    <t>In patients with acute PE in AHA/ACC PE Categories A-C1, CDL is not recommended over anticoagulation alone for improving clinical outcomes or symptoms.</t>
  </si>
  <si>
    <t>C-EO</t>
  </si>
  <si>
    <t>172</t>
  </si>
  <si>
    <t>aha_vhd_2020</t>
  </si>
  <si>
    <t>ACC/AHA Guideline for the Management of Patients With Valvular Heart Disease</t>
  </si>
  <si>
    <t>https://doi.org/10.1016/j.jacc.2020.11.018</t>
  </si>
  <si>
    <t>In patients with chronic severe secondary MR related to LV systolic dysfunction (LVEF &lt;50%) who have persistent severe symptoms (NYHA class III or IV) while on optimal GDMT for HF (Stage D), mitral va</t>
  </si>
  <si>
    <t>B-NR</t>
  </si>
  <si>
    <t>173</t>
  </si>
  <si>
    <t>aha_hf_2022</t>
  </si>
  <si>
    <t>AHA/ACC/HFSA Guideline for the Management of Heart Failure</t>
  </si>
  <si>
    <t>https://doi.org/10.1016/j.jacc.2021.12.012</t>
  </si>
  <si>
    <t xml:space="preserve">In patients for whom echocardiography is inadequate, alternative imaging (e.g., cardiac magnetic resonance [CMR], cardiac computed tomography [CT], radionuclide imaging) is recommended for assessment </t>
  </si>
  <si>
    <t>C-LD</t>
  </si>
  <si>
    <t>174</t>
  </si>
  <si>
    <t>aha_pad_2024</t>
  </si>
  <si>
    <t>Lower Extremity Peripheral Artery Disease</t>
  </si>
  <si>
    <t>https://doi.org/10.1016/j.jacc.2024.02.013</t>
  </si>
  <si>
    <t>In patients with PAD, management of diabetes should be coordinated among members of the health care team.</t>
  </si>
  <si>
    <t>175</t>
  </si>
  <si>
    <t>In patients with PAD and type 2 diabetes, use of glucagon-like peptide–1 agonists (liraglutide and semaglutide) and sodium-glucose cotransporter-2 (SGLT-2) inhibitors (canagliflozin, dapagliflozin, an</t>
  </si>
  <si>
    <t>176</t>
  </si>
  <si>
    <t>aha_bradycardia_2018</t>
  </si>
  <si>
    <t>Bradycardia and Cardiac Conduction Delay</t>
  </si>
  <si>
    <t>https://doi.org/10.1016/j.jacc.2018.10.044</t>
  </si>
  <si>
    <t>In patients with permanent or persistent AF in whom a rhythm control strategy is not planned, implantation of an atrial lead should not be performed (S6.4.4.1-26, S6.4.4.1-27).</t>
  </si>
  <si>
    <t>177</t>
  </si>
  <si>
    <t>aha_ccd_2023</t>
  </si>
  <si>
    <t>AHA/ACC Guideline for the Diagnosis and Management of Patients With Chronic Coronary Disease</t>
  </si>
  <si>
    <t>https://doi.org/10.1016/j.jacc.2023.04.003</t>
  </si>
  <si>
    <t>In patients with CCD, it is recommended that risk stratification incorporate all available information, including noninvasive, invasive, or both cardiovascular diagnostic testing results or use valida</t>
  </si>
  <si>
    <t>178</t>
  </si>
  <si>
    <t>aha_hcm_2024</t>
  </si>
  <si>
    <t>AHA/ACC Guideline for the Diagnosis and Treatment of Patients With Hypertrophic Cardiomyopathy</t>
  </si>
  <si>
    <t>https://doi.org/10.1016/j.jacc.2024.02.014</t>
  </si>
  <si>
    <t xml:space="preserve">For patients with HCM, TEE can be useful if TTE is inconclusive in clinical decision-making regarding medical therapy, and in situations such as planning for myectomy, exclusion of subaortic membrane </t>
  </si>
  <si>
    <t>179</t>
  </si>
  <si>
    <t>In patients with ALI and a salvageable limb who are treated with catheter-directed thrombolysis, adjunctive revascularization (ie, endovascular or surgical) procedures can be useful.</t>
  </si>
  <si>
    <t>180</t>
  </si>
  <si>
    <t>In patients with suspected PAD (ie, potential signs and/or symptoms) with inconclusive ABI and physiological testing, noninvasive imaging with duplex ultrasound, CTA, or MRA may be considered to estab</t>
  </si>
  <si>
    <t>181</t>
  </si>
  <si>
    <t>aha_aortic_2022</t>
  </si>
  <si>
    <t>ACC/AHA Guideline for the Diagnosis and Management of Aortic Disease</t>
  </si>
  <si>
    <t>https://doi.org/10.1016/j.jacc.2022.08.004</t>
  </si>
  <si>
    <t>In patients with CoA, BPs should be measured in both arms and one of the lower extremities.</t>
  </si>
  <si>
    <t>182</t>
  </si>
  <si>
    <t>In patients with CLTI, a multispecialty care team should evaluate and provide comprehensive care with goals of complete wound healing, minimizing tissue loss, and preservation of ambulatory status.</t>
  </si>
  <si>
    <t>183</t>
  </si>
  <si>
    <t>aha_syncope_2017</t>
  </si>
  <si>
    <t>ACC/AHA/HRS Guideline for the Evaluation and Management of Patients With Syncope</t>
  </si>
  <si>
    <t>https://doi.org/10.1016/j.jacc.2017.03.003</t>
  </si>
  <si>
    <t>Exercise stress testing can be useful to establish the cause of syncope in selected patients who experience syncope or presyncope during exertion (132,143).</t>
  </si>
  <si>
    <t>184</t>
  </si>
  <si>
    <t>aha_prevention_2019</t>
  </si>
  <si>
    <t>ACC/AHA Guideline on the Primary Prevention of Cardiovascular Disease</t>
  </si>
  <si>
    <t>https://doi.org/10.1016/j.jacc.2019.03.010</t>
  </si>
  <si>
    <t>For adults 20 to 39 years of age, it is reasonable to assess traditional ASCVD risk factors at least every 4 to 6 years (S2.2-1–S2.2-3).</t>
  </si>
  <si>
    <t>185</t>
  </si>
  <si>
    <t>aha_achd_2025</t>
  </si>
  <si>
    <t>AHA/ACC Guideline for the Management of Adults With Congenital Heart Disease</t>
  </si>
  <si>
    <t>https://doi.org/10.1016/j.jacc.2025.09.006</t>
  </si>
  <si>
    <t>In symptomatic adults with Fontan circulation, or those with evidence of systemic ventricular volume overload, closure of aortopulmonary collaterals to improve symptoms and reduce the likelihood of pa</t>
  </si>
  <si>
    <t>186</t>
  </si>
  <si>
    <t>In patients with a descending TAA that meets criteria for repair with TEVAR, who have smaller or diseased access vessels, considerations for alternative vascular access are recommended.</t>
  </si>
  <si>
    <t>187</t>
  </si>
  <si>
    <t xml:space="preserve">In patients with HCM and AF who require surgical myectomy, concomitant surgical AF ablation procedure can be beneficial for AF rhythm control. 13,27-29 patients with HCM as well. SCAF was reported in </t>
  </si>
  <si>
    <t>188</t>
  </si>
  <si>
    <t>In patients with known or suspected primary MR, TTE is indicated for baseline evaluation of LV size and function, RV function, LA size, pulmonary artery pressure, and the mechanism and severity of pri</t>
  </si>
  <si>
    <t>189</t>
  </si>
  <si>
    <t>For patients with LVH in whom there is a suspicion of alternative diagnoses, including infiltrative or storage disease as well as athlete’s heart, CMR imaging is useful (Figure 1). 1-7 3. For patients</t>
  </si>
  <si>
    <t>190</t>
  </si>
  <si>
    <t>In asymptomatic adults with unrepaired cor triatriatum sinister and severe membrane obstruction, surgical resection can be useful to prevent the sequelae of left atrial hypertension.</t>
  </si>
  <si>
    <t>191</t>
  </si>
  <si>
    <t>aha_af_2023</t>
  </si>
  <si>
    <t>ACC/AHA/ACCP/HRS Guideline for Diagnosis and Management of Atrial Fibrillation</t>
  </si>
  <si>
    <t>https://doi.org/10.1016/j.jacc.2023.08.017</t>
  </si>
  <si>
    <t>In patients with symptomatic AF in whom antiarrhythmic drugs have been ineffective, contraindicated, not tolerated or not preferred, and continued rhythm control is desired, catheter ablation is usefu</t>
  </si>
  <si>
    <t>192</t>
  </si>
  <si>
    <t>In patients being considered for potentially cardiotoxic therapies, serial measurement of cardiac troponin might be reasonable for further risk stratification (29-32).</t>
  </si>
  <si>
    <t>193</t>
  </si>
  <si>
    <t>In adults with Fontan circulation, imaging and laboratory evaluation of the liver should be performed at least annually to screen for hepatocellular carcinoma and for evidence of progressive Fontan-as</t>
  </si>
  <si>
    <t>194</t>
  </si>
  <si>
    <t>aha_dyslipidemia_2026</t>
  </si>
  <si>
    <t>ACC/AHA Guideline on the Management of Blood Cholesterol and Dyslipidemia</t>
  </si>
  <si>
    <t>https://doi.org/10.1016/j.jacc.2025.11.016</t>
  </si>
  <si>
    <t>In adults with severe hypercholesterolemia with an LDL-C ≥190 mg/dL (4.9 mmol/L), secondary causes of dyslipidemia should be excluded and addressed to reduce LDL-C (Table 15).</t>
  </si>
  <si>
    <t>195</t>
  </si>
  <si>
    <t>In patients who have new postoperative SND or atrioventricular block associated with persistent symptoms or hemodynamic instability that does not resolve after isolated coronary artery bypass surgery,</t>
  </si>
  <si>
    <t>196</t>
  </si>
  <si>
    <t>aha_svt_2015</t>
  </si>
  <si>
    <t>ACC/AHA/HRS Guideline for the Management of Adult Patients With Supraventricular Tachycardia</t>
  </si>
  <si>
    <t>https://doi.org/10.1016/j.jacc.2015.08.856</t>
  </si>
  <si>
    <t>Ongoing management with antithrombotic therapy is recommended in ACHD patients and AT or atrial flutter to align with recommended antithrombotic therapy for patients with AF (365).</t>
  </si>
  <si>
    <t>197</t>
  </si>
  <si>
    <t>In selected patients with a low to intermediate pretest probability of CAD, contrast-enhanced coronary CT angiography is reasonable to exclude the presence of significant obstructive CAD (12–18).</t>
  </si>
  <si>
    <t>198</t>
  </si>
  <si>
    <t>In adults at intermediate risk and select adults at borderline risk with no prior ASCVD, if the decision regarding LLT remains uncertain, a CAC score should be used for further risk stratification and</t>
  </si>
  <si>
    <t>B-R</t>
  </si>
  <si>
    <t>199</t>
  </si>
  <si>
    <t>aha_htn_2025</t>
  </si>
  <si>
    <t>ACC/AHA Guideline for the Prevention, Detection, Evaluation, and Management of High Blood Pressure i</t>
  </si>
  <si>
    <t>https://doi.org/10.1016/j.jacc.2025.05.007</t>
  </si>
  <si>
    <t>In adults with stage 1 hypertension (SBP 130-139 mm Hg and DBP 80-89 mm Hg), initiation of antihypertensive drug therapy with a single first-line antihypertensive drug is reasonable, with dosage titra</t>
  </si>
  <si>
    <t>200</t>
  </si>
  <si>
    <t xml:space="preserve">In selected patients with second-degree atrioventricular block, carotid sinus massage and/or pharmacological challenge with atropine, isoproterenol, or procainamide may be considered to determine the </t>
  </si>
  <si>
    <t>201</t>
  </si>
  <si>
    <t>Patients with a device-detected AHRE lasting &lt;5 minutes and without another indication for oral anticoagulation should not receive oral anticoagulation.</t>
  </si>
  <si>
    <t>202</t>
  </si>
  <si>
    <t>aha_vascd_2017</t>
  </si>
  <si>
    <t>Ventricular Arrhythmias and SCD Prevention</t>
  </si>
  <si>
    <t>https://doi.org/10.1016/j.jacc.2017.10.054</t>
  </si>
  <si>
    <t>In patients with clinically diagnosed or suspected arrhythmogenic right ventricular cardiomyopathy, genetic counseling and genetic testing can be useful for diagnosis and for gene-specific targeted fa</t>
  </si>
  <si>
    <t>203</t>
  </si>
  <si>
    <t>aha_periop_2024</t>
  </si>
  <si>
    <t>AHA/ACC Guideline on Perioperative Cardiovascular Management for Noncardiac Surgery</t>
  </si>
  <si>
    <t>https://doi.org/10.1016/j.jacc.2024.06.013</t>
  </si>
  <si>
    <t>In all patients ≥65 years of age and in those &lt;64 years with perceived frailty who are undergoing elevated-risk NCS, preoperative frailty assessment using a validated tool can be useful for evaluating</t>
  </si>
  <si>
    <t>204</t>
  </si>
  <si>
    <t>Simultaneous monitoring of an EEG and hemodynamic parameters during tilt-table testing can be useful to distinguish among syncope, pseudosyncope, and epilepsy (229,261–263).</t>
  </si>
  <si>
    <t>205</t>
  </si>
  <si>
    <t xml:space="preserve">For patients with second-degree or third-degree atrioventricular block believed to be at the atrioventricular nodal level associated with symptoms or hemodynamic compromise, atropine is reasonable to </t>
  </si>
  <si>
    <t>206</t>
  </si>
  <si>
    <t>In patients with chronic severe secondary MR and HFrEF, optimization of GDMT is recommended before any intervention for secondary MR related to LV dysfunction (3-5,12-14).</t>
  </si>
  <si>
    <t>207</t>
  </si>
  <si>
    <t>In patients with cardiac allograft vasculopathy, statins are recommended for secondary prevention to reduce MACE.</t>
  </si>
  <si>
    <t>208</t>
  </si>
  <si>
    <t>In patients with unruptured saccular AAA, intervention to reduce the risk of rupture may be reasonable.</t>
  </si>
  <si>
    <t>209</t>
  </si>
  <si>
    <t>aha_chest_pain_2021</t>
  </si>
  <si>
    <t>AHA/ACC Guideline for the Evaluation and Diagnosis of Chest Pain</t>
  </si>
  <si>
    <t>https://doi.org/10.1016/j.jacc.2021.07.053</t>
  </si>
  <si>
    <t>In all patients who present with acute chest pain regardless of the setting, an ECG should be acquired and reviewed for STEMI within 10 minutes of arrival (1-3,6,7,10).</t>
  </si>
  <si>
    <t>210</t>
  </si>
  <si>
    <t>In patients with CVD undergoing NCS, maintenance of normothermia is reasonable to avoid perioperative complications overall.</t>
  </si>
  <si>
    <t>211</t>
  </si>
  <si>
    <t>Patients with AAS should be treated with pain control, as needed, to help with hemodynamic management.</t>
  </si>
  <si>
    <t>212</t>
  </si>
  <si>
    <t>In patients with AAS, initial management should include intravenous vasodilators if the BP is not well controlled after initiation of intravenous beta-blocker therapy.</t>
  </si>
  <si>
    <t>213</t>
  </si>
  <si>
    <t>aha_acs_2025</t>
  </si>
  <si>
    <t>AHA/ACC Guideline for the Management of Patients With Acute Coronary Syndromes</t>
  </si>
  <si>
    <t>https://doi.org/10.1016/j.jacc.2024.11.009</t>
  </si>
  <si>
    <t>In patients with STEMI treated with fibrinolytic therapy, parenteral anticoagulation should be continued for the duration of the hospital stay (maximum of 8 days) or until revascularization is perform</t>
  </si>
  <si>
    <t>214</t>
  </si>
  <si>
    <t>In adults with symptomatic AAOCA or diagnostic evidence consistent with myocardial ischemia attributable to the anomalous artery, surgery is recommended.</t>
  </si>
  <si>
    <t>215</t>
  </si>
  <si>
    <t>At the time of ICD implantation or replacement, and during advance care planning, patients should be informed that their ICD shock therapy can be deactivated at any time if it is consistent with their</t>
  </si>
  <si>
    <t>216</t>
  </si>
  <si>
    <t>For patients with acute chest pain and suspected ACS who are deemed low risk by a CDP, patient decision aids are beneficial to improve understanding and effectively facilitate risk communication (1,2)</t>
  </si>
  <si>
    <t>217</t>
  </si>
  <si>
    <t>In patients with recurrent PE who are adherent with prescribed therapeutic-intensity anticoagulation, changing therapy to an alternative drug class rather than continuing therapy with the same drug cl</t>
  </si>
  <si>
    <t>218</t>
  </si>
  <si>
    <t>In severely symptomatic patients (NYHA class III or IV) with severe MS (mitral valve area ≤1.5 cm2, Stage D) attributable to extensive mitral annular calcification, valve intervention may be considere</t>
  </si>
  <si>
    <t>219</t>
  </si>
  <si>
    <t>In patients with CCD and cancer, a multidisciplinary team including cardiology and oncology expertise is recommended to improve long-term CVD outcomes.</t>
  </si>
  <si>
    <t>220</t>
  </si>
  <si>
    <t>For intermediate-risk patients with acute chest pain and no known CAD, with a coronary artery stenosis of 40% to 90% in a proximal or middle coronary artery on CCTA, FFR-CT can be useful for the diagn</t>
  </si>
  <si>
    <t>221</t>
  </si>
  <si>
    <t>VVS evaluation, including a detailed medical history, physical examination, family history, and a 12-lead ECG, should be performed in all pediatric patients presenting with syncope (315,618,620,624–63</t>
  </si>
  <si>
    <t>222</t>
  </si>
  <si>
    <t>In patients with rheumatic MS in normal sinus rhythm with symptomatic resting or exertional sinus tachycardia, heart rate control can be beneficial to manage symptoms (9–15).</t>
  </si>
  <si>
    <t>223</t>
  </si>
  <si>
    <t>For carefully selected patients with repaired TOF and hemodynamically tolerated monomorphic ventricular tachycardia related to a well-defined anatomical isthmus, ablation monotherapy may be considered</t>
  </si>
  <si>
    <t>224</t>
  </si>
  <si>
    <t>In patients with adult congenital heart disease who have asymptomatic VA, prophylactic antiarrhythmic therapy with class Ic medications (i.e., flecainide, propafenone) or amiodarone is potentially har</t>
  </si>
  <si>
    <t>225</t>
  </si>
  <si>
    <t>In adults with repaired cor triatriatum sinister and symptoms compatible with recurrent membrane obstruction, it is reasonable to evaluate for the presence of residual congenital cardiac defects, incl</t>
  </si>
  <si>
    <t>226</t>
  </si>
  <si>
    <t>In individuals who are genotype-positive, phenotype-negative for HCM, participation in competitive sports of any intensity is reasonable. 6,7 3. In individuals who are genotype-positive, phenotype-neg</t>
  </si>
  <si>
    <t>227</t>
  </si>
  <si>
    <t>For adults with congenital heart disease, neuropsychological testing may be considered to guide therapies that enhance academic, behavioral, psychosocial, and adaptive functioning.</t>
  </si>
  <si>
    <t>228</t>
  </si>
  <si>
    <t>In adults with a recent history of infective endocarditis involving a VSD, closure of the VSD may be reasonable to reduce the risk for recurrent endocarditis.</t>
  </si>
  <si>
    <t>229</t>
  </si>
  <si>
    <t>For patients with AF and moderate liver disease (Child-Pugh class B) at increased risk of systemic thromboembolism, rivaroxaban is contraindicated due to the potentially increased risk of bleeding.</t>
  </si>
  <si>
    <t>230</t>
  </si>
  <si>
    <t>Routine and comprehensive laboratory testing is not useful in the evaluation of patients with syncope (126,131).</t>
  </si>
  <si>
    <t>231</t>
  </si>
  <si>
    <t>Adults with d-TGA and atrial switch who require transvenous lead placement can benefit from catheter-based interventions to address residual baffle leaks or obstruction before lead placement, to reduc</t>
  </si>
  <si>
    <t>232</t>
  </si>
  <si>
    <t>In adults with Fontan circulation, treatment with pulmonary vasodilators may be considered to improve exercise capacity.</t>
  </si>
  <si>
    <t>233</t>
  </si>
  <si>
    <t>Oral digoxin is potentially harmful for ongoing management in patients with AVRT or AF and pre-excitation on their resting ECG (271).</t>
  </si>
  <si>
    <t>234</t>
  </si>
  <si>
    <t xml:space="preserve">In asymptomatic patients with severe AS and an LVEF &lt;50% who are ≤80 years of age and have no anatomic contraindication to transfemoral TAVI, the decision between TAVI and SAVR should follow the same </t>
  </si>
  <si>
    <t>235</t>
  </si>
  <si>
    <t>In patients with unruptured AAA and aneurysm growth of ≥0.5 cm in 6 months, repair to reduce the risk of rupture may be reasonable.</t>
  </si>
  <si>
    <t>236</t>
  </si>
  <si>
    <t>In patients with Marfan syndrome, Loeys-Dietz syndrome, or vascular Ehlers-Danlos syndrome and intact TAAA requiring intervention, open repair is recommended over endovascular repair.</t>
  </si>
  <si>
    <t>237</t>
  </si>
  <si>
    <t>In patients with acute PE who are eligible for oral anticoagulation, DOACs are recommended over vitamin K antagonists (VKAs), unless contraindicated, to prevent recurrent VTE and reduce major bleeding</t>
  </si>
  <si>
    <t>238</t>
  </si>
  <si>
    <t>Vagal maneuvers are recommended for acute treatment in pregnant patients with SVT (235,516).</t>
  </si>
  <si>
    <t>239</t>
  </si>
  <si>
    <t>In patients undergoing open surgical repair of an ascending aortic aneurysm, if the aneurysmal disease extends into the proximal aortic arch, it is reasonable to extend the repair with a hemiarch repl</t>
  </si>
  <si>
    <t>240</t>
  </si>
  <si>
    <t xml:space="preserve">In patients with active GCA or Takayasu arteritis, treatment efficacy should be periodically assessed by monitoring inflammatory serum markers (C-reactive protein and erythrocyte sedimentation rate), </t>
  </si>
  <si>
    <t>241</t>
  </si>
  <si>
    <t>A team-based care approach is recommended for the control of risk factors associated with ASCVD (S2.1-1–S2.1-14).</t>
  </si>
  <si>
    <t>242</t>
  </si>
  <si>
    <t>In patients with syndromic and nsHTAD, Turner syndrome, BAV with aortic dilation, and other aortopathy conditions, aortic imaging (with TTE, MRI or CT, or both as appropriate) before pregnancy is reco</t>
  </si>
  <si>
    <t>243</t>
  </si>
  <si>
    <t>In most patients with AF who take oral anticoagulation and undergo PCI, early discontinuation of aspirin (1-4 wk) and continuation of dual antithrombotic therapy with OAC and a P2Y12 inhibitor is pref</t>
  </si>
  <si>
    <t>244</t>
  </si>
  <si>
    <t>In patients with ACS and cardiogenic shock or hemodynamic instability, emergency revascularization of the culprit vessel by PCI or CABG is indicated to improve survival, irrespective of time from symp</t>
  </si>
  <si>
    <t>245</t>
  </si>
  <si>
    <t>In patients with functionally limiting claudication and hemodynamically significant aortoiliac or femoropopliteal disease with inadequate response to GDMT (including structured exercise), surgical rev</t>
  </si>
  <si>
    <t>246</t>
  </si>
  <si>
    <t>For patients with bioprosthetic TAVI, treatment with low-dose rivaroxaban (10 mg daily) plus aspirin (75–100 mg) is contraindicated in the absence of other indications for oral anticoagulants (30).</t>
  </si>
  <si>
    <t>247</t>
  </si>
  <si>
    <t>For adults with persistent symptoms of airway or esophageal compression after repair of vascular ring or PA sling, cross-sectional advanced imaging is recommended to evaluate postoperative anatomy and</t>
  </si>
  <si>
    <t>248</t>
  </si>
  <si>
    <t>In patients with high-degree or complete heart block and LVEF of 36% to 50%, CRT is reasonable to reduce total mortality, reduce hospitalizations, and improve symptoms and QOL (34,35).</t>
  </si>
  <si>
    <t>249</t>
  </si>
  <si>
    <t>In adults 20 to 39 years of age with diabetes of long duration (≥10 years of type 2 diabetes, ≥20 years of type 1 diabetes), albuminuria (≥30 μg of albumin/mg creatinine), estimated glomerular filtrat</t>
  </si>
  <si>
    <t>250</t>
  </si>
  <si>
    <t>In patients with an infected prosthetic aortic graft who are hemodynamically unstable, it is reasonable to perform open surgery with either explant or in situ reconstruction.</t>
  </si>
  <si>
    <t>251</t>
  </si>
  <si>
    <t xml:space="preserve">In patients with AF-induced cardiomyopathy who have recovered LV function, long-term surveillance can be beneficial to detect recurrent AF in view of the high risk of recurrence of arrhythmia-induced </t>
  </si>
  <si>
    <t>252</t>
  </si>
  <si>
    <t>In patients with ACHD undergoing invasive cardiac procedures, postprocedural care should involve collaboration with an ACHD cardiologist to incorporate expert opinion, provide guideline-based therapy,</t>
  </si>
  <si>
    <t>253</t>
  </si>
  <si>
    <t>Patients considering implantation of a pacemaker or with a pacemaker that requires lead revision or generator change should be informed of procedural benefits and risks, including the potential short-</t>
  </si>
  <si>
    <t>254</t>
  </si>
  <si>
    <t>In selected patients with HF, reduced EF (EF ≤35%), and suitable coronary anatomy, surgical revascularization plus GDMT is beneficial to improve symptoms, cardiovascular hospitalizations, and long-ter</t>
  </si>
  <si>
    <t>255</t>
  </si>
  <si>
    <t>aha_revasc_2021</t>
  </si>
  <si>
    <t>AHA/ACC/SCAI Guideline for Coronary Artery Revascularization</t>
  </si>
  <si>
    <t>https://doi.org/10.1016/j.jacc.2021.09.006</t>
  </si>
  <si>
    <t>In selected patients with SIHD and multivessel CAD appropriate for CABG and mild-to-moderate left ventricular systolic dysfunction (ejection fraction 35%–50%), CABG (to include a left internal mammary</t>
  </si>
  <si>
    <t>256</t>
  </si>
  <si>
    <t>The usefulness of orthostatic training is uncertain in patients with frequent VVS (382–386).</t>
  </si>
  <si>
    <t>257</t>
  </si>
  <si>
    <t>In patients with an AAA of 3.0 cm to 3.9 cm, surveillance ultrasound is recommended every 3 years to assess for interval change.</t>
  </si>
  <si>
    <t>258</t>
  </si>
  <si>
    <t>In patients undergoing elective CABG who are not already taking aspirin, the initiation of aspirin (100–300 mg daily) in the immediate preoperative period (&lt;24 hours before surgery) is not recommended</t>
  </si>
  <si>
    <t>259</t>
  </si>
  <si>
    <t>In patients with AF with normal EF undergoing AVNA, conduction system pacing of the His bundle10-13 or left bundle area12,13 may be reasonable.</t>
  </si>
  <si>
    <t>260</t>
  </si>
  <si>
    <t>aha_obesity_2013</t>
  </si>
  <si>
    <t>AHA/ACC/TOS Guideline for the Management of Overweight and Obesity in Adults</t>
  </si>
  <si>
    <t>https://doi.org/10.1016/j.jacc.2013.11.004</t>
  </si>
  <si>
    <t>4b. Prescribe on-site, high-intensity (i.e., &gt;=14 sessions in 6 mo) comprehensive weight loss interventions provided in individual or group sessions by a trained interventionist.</t>
  </si>
  <si>
    <t>261</t>
  </si>
  <si>
    <t>In patients with an LVAD and sustained VA, an ICD can be beneficial (S7.7.3-1).</t>
  </si>
  <si>
    <t>262</t>
  </si>
  <si>
    <t>In patients with a left ventricular assist device (LVAD), coordination with the LVAD care team on the appropriate timing and perioperative considerations of elective NCS is recommended to mitigate the</t>
  </si>
  <si>
    <t>263</t>
  </si>
  <si>
    <t>In patients taking sodium channel blockers who present with elevated defibrillation or pacing thresholds, discontinuing the presumed responsible medication or reprogramming the device can be useful to</t>
  </si>
  <si>
    <t>264</t>
  </si>
  <si>
    <t>Flecainide or propafenone may be reasonable for ongoing management in patients without structural heart disease or ischemic heart disease who have junctional tachycardia (398,399).</t>
  </si>
  <si>
    <t>265</t>
  </si>
  <si>
    <t>In patients with AF and HF with rapid ventricular rates in whom beta blockers or calcium channel blockers are contraindicated or ineffective, intravenous amiodarone is reasonable for acute rate contro</t>
  </si>
  <si>
    <t>266</t>
  </si>
  <si>
    <t>In adults with Eisenmenger syndrome and intracardiac shunts who meet indications for permanent pacing or an ICD, endocardial leads may be potentially harmful given the increased risk for systemic thro</t>
  </si>
  <si>
    <t>267</t>
  </si>
  <si>
    <t>In asymptomatic patients with moderate or severe MR, normal LV systolic function, and estimated PA systolic pressure &lt;50 mm Hg, it is reasonable to perform elective NCS.∗</t>
  </si>
  <si>
    <t>268</t>
  </si>
  <si>
    <t>For patients with AF receiving DOACs, optimal management of drug interactions is recommended for those receiving concomitant therapy with interacting drugs, especially CYP3A4 and/or p-glycoprotein inh</t>
  </si>
  <si>
    <t>269</t>
  </si>
  <si>
    <t xml:space="preserve">In patients with signs and symptoms of right-sided HF and severe TR (Stage D) who have undergone previous left-sided valve surgery, reoperation with isolated tricuspid valve surgery may be considered </t>
  </si>
  <si>
    <t>270</t>
  </si>
  <si>
    <t>In patients with CKD undergoing contrast media injection for coronary angiography, measures should be taken to minimize the risk of contrast-induced acute kidney injury (AKI) (1-3).</t>
  </si>
  <si>
    <t>271</t>
  </si>
  <si>
    <t>In patients with acute PE who are receiving thrombolytic therapy (systemic or CDL), placement in a unit that can provide close monitoring, such as an intensive care unit (ICU) or intermediate level of</t>
  </si>
  <si>
    <t>272</t>
  </si>
  <si>
    <t>In patients with Marfan syndrome, treatment with either a beta blocker or an ARB, in maximally tolerated doses (unless contraindicated), is recommended to reduce the rate of aortic dilation.</t>
  </si>
  <si>
    <t>273</t>
  </si>
  <si>
    <t>In patients with ALI with a nonsalvageable limb, revascularization of nonviable tissue should not be performed.</t>
  </si>
  <si>
    <t>274</t>
  </si>
  <si>
    <t>In adults with Fontan circulation and symptoms or Fontan circulatory failure attributable to significant intracardiac structural or anatomic abnormalities, reoperation may be considered to improve sym</t>
  </si>
  <si>
    <t>275</t>
  </si>
  <si>
    <t>For patients presenting with HF, the specific cause of HF should be explored using additional laboratory testing for appropriate management (1-8).</t>
  </si>
  <si>
    <t>276</t>
  </si>
  <si>
    <t xml:space="preserve">For patients with AF and LVEF ≤50%, if a rhythm control strategy fails or is not desired, and ventricular rates remain rapid despite medical therapy, atrioventricular nodal ablation with implantation </t>
  </si>
  <si>
    <t>277</t>
  </si>
  <si>
    <t>Patients who are pacemaker-dependent having surgeries above the umbilicus with anticipated EMI should have the pacemaker reprogrammed or have a magnet placed on the generator to provide an asynchronou</t>
  </si>
  <si>
    <t>278</t>
  </si>
  <si>
    <t>In patients with CCD who have undergone PCI and who require oral anticoagulant therapy, continuing aspirin in addition to clopidogrel for up to 1 month is reasonable if the patient has a high thrombot</t>
  </si>
  <si>
    <t>279</t>
  </si>
  <si>
    <t>In patients with low thromboembolic risks (CHA2DS2-VASc 0-1 or equivalent) and AF duration of &lt;12 hours, the benefit of precardioversion imaging or pericardioversion anticoagulation is uncertain given</t>
  </si>
  <si>
    <t>280</t>
  </si>
  <si>
    <t>In patients who have undergone catheter ablation of AF, continuation of longer-term oral anticoagulation should be dictated according to the patients’ stroke risk (eg, CHA2DS2-VASc score ≥2).</t>
  </si>
  <si>
    <t>281</t>
  </si>
  <si>
    <t>For patients suspected of having HCM in whom echocardiography is inconclusive, CMR imaging is indi- cated for diagnostic clarification. 1-7 2. For patients with LVH in whom there is a suspicion of alt</t>
  </si>
  <si>
    <t>282</t>
  </si>
  <si>
    <t>In patients undergoing CABG who are already taking daily aspirin preoperatively, it is recommended that they continue taking aspirin until the time of surgery to reduce ischemic events (1-7).</t>
  </si>
  <si>
    <t>283</t>
  </si>
  <si>
    <t>In patients undergoing PCI, administration of intravenous unfractionated heparin (UFH) is useful to reduce ischemic events.</t>
  </si>
  <si>
    <t>284</t>
  </si>
  <si>
    <t>In patients undergoing tricuspid valve surgery, routine placement of temporary epicardial pacing wires is recommended (S8.1.2.3.3-1—S8.1.2.3.3-4).</t>
  </si>
  <si>
    <t>285</t>
  </si>
  <si>
    <t>In patients with CCD who also have hypertension, diabetes, LVEF £40%, or CKD, the use of ACE inhibitors, or ARBs if ACE inhibitor–intolerant, is recommended to reduce cardiovascular events.</t>
  </si>
  <si>
    <t>286</t>
  </si>
  <si>
    <t>In patients with CCD who have significant left main disease or multivessel disease with severe LV dysfunction (LVEF £ 35%), CABG in addition to medical therapy is recommended over medical therapy alon</t>
  </si>
  <si>
    <t>287</t>
  </si>
  <si>
    <t>Patients with acute PE should have a clinical visit at or before 3 months after diagnosis to discuss duration of anticoagulation, review the need for further testing, and assess for persistent PE-rela</t>
  </si>
  <si>
    <t>288</t>
  </si>
  <si>
    <t>In patients with acute PE in AHA/ACC PE Category C3 and acceptable bleeding risk, in whom advanced therapy is being considered, the use of systemic thrombolysis and anticoagulation over anticoagulatio</t>
  </si>
  <si>
    <t>289</t>
  </si>
  <si>
    <t xml:space="preserve">In patients with functionally limiting claudication and isolated hemodynamically significant infrapopliteal disease with inadequate response to GDMT (including structured exercise), the effectiveness </t>
  </si>
  <si>
    <t>290</t>
  </si>
  <si>
    <t>In patients with CLTI, duplex ultrasound, CTA, MRA, or catheter angiography is useful to determine revascularization strategy.</t>
  </si>
  <si>
    <t>291</t>
  </si>
  <si>
    <t>In patients with nonruptured AAA and a high perioperative risk, EVAR is reasonable to reduce the risk of 30-day morbidity, mortality, or both.</t>
  </si>
  <si>
    <t>292</t>
  </si>
  <si>
    <t>In patients with NSTE-ACS in whom an early invasive approach is not anticipated, either enoxaparin or fondaparinux are recommended alternatives to UFH to reduce ischemic events.</t>
  </si>
  <si>
    <t>293</t>
  </si>
  <si>
    <t>In patients &gt;65 years of age who require AVR, it is reasonable to choose a bioprosthesis over a mechanical valve. (1)</t>
  </si>
  <si>
    <t>294</t>
  </si>
  <si>
    <t>In patients with bioprosthetic valve stenosis, 3D TEE or 4D CT imaging can be useful to rule out leaflet thrombosis (3–7).</t>
  </si>
  <si>
    <t>295</t>
  </si>
  <si>
    <t>For patients undergoing CABG, establishment of multidisciplinary, evidence-based perioperative management programs is recommended to optimize analgesia, minimize opioid exposure, prevent complications</t>
  </si>
  <si>
    <t>296</t>
  </si>
  <si>
    <t>For patients with CCD who do not have contraindications, lower-intensity lifestyle activities (eg, walking breaks at work) to reduce sedentary behavior (ie, sitting time) are reasonable to improve fun</t>
  </si>
  <si>
    <t>297</t>
  </si>
  <si>
    <t>In patients with CCD who are judged to be at very high risk (Table 10) and who have an LDL-C level ‡70 mg/dL (‡1.8 mmol/L), or a non–high-density lipoprotein cholesterol (HDL-C) level ‡100 mg/dL (‡2.6</t>
  </si>
  <si>
    <t>298</t>
  </si>
  <si>
    <t>In patients with only ST-segment depression, except when true posterior STEMI is suspected, fibrinolytic therapy should not be administered due to risk of hemorrhagic stroke and major noncerebral blee</t>
  </si>
  <si>
    <t>299</t>
  </si>
  <si>
    <t>In patients with CCD, refractory angina, and no other treatment options, enhanced external counter- pulsation may be considered for relief of symptoms.∗</t>
  </si>
  <si>
    <t>300</t>
  </si>
  <si>
    <t>In patients with CCD who require revascularization for multivessel CAD with complex and diffuse CAD (eg, SYNTAX score &gt;33), it is reasonable to choose CABG over PCI to improve survival.∗ Patients With</t>
  </si>
  <si>
    <t>301</t>
  </si>
  <si>
    <t>In patients with suspected NICM, cardiac MRI with late gadolinium enhancement can be useful for assessing risk of SCA/SCD (S7.2-1—S7.2-3).</t>
  </si>
  <si>
    <t>302</t>
  </si>
  <si>
    <t>In patients with mechanical valve stenosis, fluoroscopy or cine-CT is recommended to assess motion of the mechanical valve leaflets.</t>
  </si>
  <si>
    <t>303</t>
  </si>
  <si>
    <t>In adults with an atriopulmonary Fontan, preserved ventricular function, and acceptable surgical risk with atrial arrhythmias refractory to medical and catheter-based therapies, Fontan conversion surg</t>
  </si>
  <si>
    <t>304</t>
  </si>
  <si>
    <t>In patients diagnosed with acute PE in a clinic or an ED, it is reasonable to use a decision tool∗ to identify suitability for outpatient treatment.</t>
  </si>
  <si>
    <t>305</t>
  </si>
  <si>
    <t>In patients presenting with acute chest pain with suspected or known history of VHD, TTE is useful in determining the presence, severity, and cause of VHD.</t>
  </si>
  <si>
    <t>306</t>
  </si>
  <si>
    <t>In patients with CLTI due to infrainguinal disease, anatomy, available conduit, patient comorbidities, and patient preferences should be considered in selecting the optimal first revascularization str</t>
  </si>
  <si>
    <t>307</t>
  </si>
  <si>
    <t>In adults with congenital heart disease of childbearing age, counseling on contraceptive options is recommended to inform pregnancy-related shared decision-making.</t>
  </si>
  <si>
    <t>308</t>
  </si>
  <si>
    <t>In adults with uncontrolled resistant hypertension despite optimal treatment with first-line antihypertensive therapy (ie, a combination of ACEi or ARB plus CCB and thiazide-like diuretic [chlorthalid</t>
  </si>
  <si>
    <t>309</t>
  </si>
  <si>
    <t>In adults with an AAOCA from the opposite sinus, risk stratification with evaluation for physiological and/or ischemic changes should be performed to guide management.</t>
  </si>
  <si>
    <t>310</t>
  </si>
  <si>
    <t>In asymptomatic patients with high-gradient severe AS (Stage C1) and low surgical risk, AVR is reasonable when serial testing shows an increase in aortic velocity ≥0.3 m/s per year (39,40).</t>
  </si>
  <si>
    <t>311</t>
  </si>
  <si>
    <t xml:space="preserve">For patients with IE and major ischemic stroke with extensive neurological damage or intracranial hemorrhage, if the patient is hemodynamically stable, delaying valve surgery for at least 4 weeks may </t>
  </si>
  <si>
    <t>312</t>
  </si>
  <si>
    <t>In patients who develop recurrent ISR, brachytherapy may be considered to improve symptoms (5).</t>
  </si>
  <si>
    <t>313</t>
  </si>
  <si>
    <t>In patients undergoing a transcatheter procedure for paravalvular prosthetic regurgitation, 3D TEE is recommended for intraprocedural guidance (4–7).</t>
  </si>
  <si>
    <t>314</t>
  </si>
  <si>
    <t>In patients with acute type A aortic dissection undergoing surgical repair who require circulatory arrest, cerebral perfusion is reasonable to improve neurologic outcomes.</t>
  </si>
  <si>
    <t>315</t>
  </si>
  <si>
    <t>Intravenous beta blockers, diltiazem, or verapamil is useful for acute treatment in hemodynamically stable patients with focal AT (123,204,205,207).</t>
  </si>
  <si>
    <t>316</t>
  </si>
  <si>
    <t>The choice of a specific cardiac monitor should be determined on the basis of the frequency and nature of syncope events.</t>
  </si>
  <si>
    <t>317</t>
  </si>
  <si>
    <t>In adults with supravalvar aortic stenosis who are symptomatic and/or have diminished LV systolic function due to stenosis, surgical repair is recommended to alleviate symptoms and preserve ventricula</t>
  </si>
  <si>
    <t>318</t>
  </si>
  <si>
    <t>In adults with ACHD with preexisting sinus node and/or atrioventricular conduction disease who are undergoing cardiac surgery, intraoperative placement of epicardial permanent pacing leads is reasonab</t>
  </si>
  <si>
    <t>319</t>
  </si>
  <si>
    <t>ICD implantation may be considered in patients with early repolarization pattern and suspected arrhythmic syncope in the presence of a family history of early repolarization pattern with cardiac arres</t>
  </si>
  <si>
    <t>320</t>
  </si>
  <si>
    <t>In patients with cardiomyopathy, a 3-generation family history should be obtained or updated when assessing the cause of the cardiomyopathy to identify possible inherited disease (13,14).</t>
  </si>
  <si>
    <t>321</t>
  </si>
  <si>
    <t>In patients with CCD, cardiac rehabilitation and regular exercise can be useful to reduce the risk of cardiovascular complications with sexual activity.∗</t>
  </si>
  <si>
    <t>322</t>
  </si>
  <si>
    <t>apa_eating_disorders_2023</t>
  </si>
  <si>
    <t>APA</t>
  </si>
  <si>
    <t>Psychiatry</t>
  </si>
  <si>
    <t>APA Practice Guideline for Treatment of Eating Disorders</t>
  </si>
  <si>
    <t>https://doi.org/10.1176/appi.ajp.23180001</t>
  </si>
  <si>
    <t>That adolescents and emerging adults with bulimia nervosa who have an involved caregiver be treated with eating disorder-focused family based treatment.</t>
  </si>
  <si>
    <t>323</t>
  </si>
  <si>
    <t>That adolescents and emerging adults with anorexia nervosa who have an involved caregiver be treated with eating disorder-focused family based treatment, which should include caregiver education aimed</t>
  </si>
  <si>
    <t>324</t>
  </si>
  <si>
    <t>That the laboratory assessment of a patient with a possible eating disorder include a complete blood count and a comprehensive metabolic panel, including electrolytes, liver enzymes, and renal functio</t>
  </si>
  <si>
    <t>325</t>
  </si>
  <si>
    <t>pmc_6426543</t>
  </si>
  <si>
    <t>ASCO</t>
  </si>
  <si>
    <t>Oncology</t>
  </si>
  <si>
    <t>Early Detection for Colorectal Cancer: ASCO Resource-Stratified Guideline</t>
  </si>
  <si>
    <t>https://doi.org/10.1200/JGO.18.00213</t>
  </si>
  <si>
    <t>Recommendation 3.1. (Pedunculated polyps) Colonoscopy should be performed always with therapeutic intent (Evidence quality: insufficient; Strength: strong) and performed by an endoscopist with trainin</t>
  </si>
  <si>
    <t>Insufficient</t>
  </si>
  <si>
    <t>326</t>
  </si>
  <si>
    <t>asco_symptom_management_gep_nets_2025</t>
  </si>
  <si>
    <t>Symptom Management for Well-Differentiated Gastroenteropancreatic Neuroendocrine Tumors: ASCO Guidel</t>
  </si>
  <si>
    <t>https://doi.org/10.1200/OP-25-00133</t>
  </si>
  <si>
    <t>Thermal ablation may be offered to patients with unresectable GEP-NET hepatic metastases, alone or in combination with surgery, when lesions are limited in size and number, and single lesions are rapi</t>
  </si>
  <si>
    <t>327</t>
  </si>
  <si>
    <t>asco_sclc_radiation_therapy_2021</t>
  </si>
  <si>
    <t>SCLC Radiation Therapy</t>
  </si>
  <si>
    <t>https://doi.org/10.1200/JCO.20.03364</t>
  </si>
  <si>
    <t>For patients with ES-SCLC who will receive thoracic RT, the treatment should be given after completion of chemotherapy alone.</t>
  </si>
  <si>
    <t>328</t>
  </si>
  <si>
    <t>asco_cervical_cancer_secondary_prevention_2016</t>
  </si>
  <si>
    <t>Secondary Prevention of Cervical Cancer: ASCO Resource-Stratified Clinical Practice Guideline</t>
  </si>
  <si>
    <t>https://doi.org/10.1200/JGO.2016.006577</t>
  </si>
  <si>
    <t>Pregnant women should not receive screening.</t>
  </si>
  <si>
    <t>329</t>
  </si>
  <si>
    <t>asco_nasopharyngeal_carcinoma_csco_asco_2021</t>
  </si>
  <si>
    <t>ASCO Nasopharyngeal Carcinoma CSCO-ASCO</t>
  </si>
  <si>
    <t>https://doi.org/10.1200/JCO.20.03237</t>
  </si>
  <si>
    <t>Recommendation 2.4. For patients with Stage III-IVA (except T3N0) (AJCC 8th) NPC who do not receive induction chemotherapy plus concurrent chemoradiotherapy, then concurrent chemoradiotherapy plus adj</t>
  </si>
  <si>
    <t>Intermediate</t>
  </si>
  <si>
    <t>330</t>
  </si>
  <si>
    <t>asco_scc_unknown_primary_head_neck_2020</t>
  </si>
  <si>
    <t>SCC Unknown Primary Head Neck</t>
  </si>
  <si>
    <t>https://doi.org/10.1200/JCO.20.00275</t>
  </si>
  <si>
    <t>Tissue specimens from suspected primary sites (biopsies, palatine and lingual tonsillectomies) should be entirely submitted for histologic examination. Resection specimens should be anatomically orien</t>
  </si>
  <si>
    <t>331</t>
  </si>
  <si>
    <t>asco_management_of_cancer_during_pregnancy_2025</t>
  </si>
  <si>
    <t>Management of Cancer During Pregnancy</t>
  </si>
  <si>
    <t>https://doi.org/10.1200/JCO-25-02115</t>
  </si>
  <si>
    <t>Before initiating fluoropyrimidine chemotherapy such as 5-FU and capecitabine in pregnant patients with cancer, the Panel recommends genetic testing to identify those with DPD deficiency due to geneti</t>
  </si>
  <si>
    <t>332</t>
  </si>
  <si>
    <t>If radiation therapy is required for pregnant patients with cancer, the radiation oncology team should ensure cumulative fetal exposure remains below 100 mGy and use appropriate abdominal shielding to</t>
  </si>
  <si>
    <t>333</t>
  </si>
  <si>
    <t>Recommendation 4.5. (Enhanced and maximal settings) CT colonography with biopsy may be performed if suspicious findings and if other two tests are contraindicated, or if second-tier DCBE is not possib</t>
  </si>
  <si>
    <t>334</t>
  </si>
  <si>
    <t>asco_metastatic_breast_cancer_rs_2024</t>
  </si>
  <si>
    <t>Systemic Treatment of Patients With Metastatic Breast Cancer: ASCO Resource-Stratified Guideline</t>
  </si>
  <si>
    <t>https://doi.org/10.1200/GO.23.00285</t>
  </si>
  <si>
    <t>First-line treatment of treatment-naive HR-positive, HER2-negative MBC (postmenopausal/premenopausal): tamoxifen in Basic settings; tamoxifen or AI (with ovarian ablation/suppression for premenopausal</t>
  </si>
  <si>
    <t>Expert consensus</t>
  </si>
  <si>
    <t>335</t>
  </si>
  <si>
    <t>For patients with ES-SCLC with a response to chemotherapy alone, thoracic RT to a dose of 3,000 cGy in 10 fractions is conditionally recommended.</t>
  </si>
  <si>
    <t>336</t>
  </si>
  <si>
    <t xml:space="preserve">Clinicians should prioritize vaginal delivery, as per standard practice and considerations, unless standard obstetric conditions or malignancies such as cervical or vulvar cancer necessitate cesarean </t>
  </si>
  <si>
    <t>337</t>
  </si>
  <si>
    <t>In enhanced-resource settings, if the results of the HPV DNA test are positive, clinicians should then perform triage with HPV genotyping for HPV 16/18 (with or without HPV 45) and/or reflex cytology.</t>
  </si>
  <si>
    <t>338</t>
  </si>
  <si>
    <t>asco_parp_inhibitors_in_the_management_of_ovarian_cancer_asco_gui</t>
  </si>
  <si>
    <t>PARP Inhibitors in the Management of Ovarian Cancer: ASCO Guideline.</t>
  </si>
  <si>
    <t>https://doi.org/10.1200/JCO.20.01924</t>
  </si>
  <si>
    <t>PARPi are not recommended for use in combination with chemotherapy, other targeted agents, or immune-oncology agents in the recurrent setting outside the context of a clinical trial. Clinical trial pa</t>
  </si>
  <si>
    <t>339</t>
  </si>
  <si>
    <t>Recommendation 1.2. (Basic setting) If available, people may receive fecal immunochemical testing (FIT) instead of gFOBT, preferably every year, or every 2 years, depending on resources and patient ad</t>
  </si>
  <si>
    <t>340</t>
  </si>
  <si>
    <t>asco_her2_breast_brain_metastases_2022</t>
  </si>
  <si>
    <t>HER2+ Breast Brain Metastases</t>
  </si>
  <si>
    <t>https://doi.org/10.1200/JCO.22.00520</t>
  </si>
  <si>
    <t>If a patient has a more favorable prognosis and presents with many diffuse and/or extensive brain metastases (&gt;= five metastases) without leptomeningeal disease, clinicians may recommend SRS or WB-M +</t>
  </si>
  <si>
    <t>341</t>
  </si>
  <si>
    <t>asco_integrative_pain_management_sio_asco_2022</t>
  </si>
  <si>
    <t>Integrative Pain Management SIO-ASCO</t>
  </si>
  <si>
    <t>https://doi.org/10.1200/JCO.22.01357</t>
  </si>
  <si>
    <t>Reflexology or acupressure may be offered to patients experiencing pain during systemic therapy for cancer treatment.</t>
  </si>
  <si>
    <t>342</t>
  </si>
  <si>
    <t>asco_anxiety_depression_sio_asco_2023</t>
  </si>
  <si>
    <t>Integrative Oncology Care of Symptoms of Anxiety and Depression in Adults With Cancer: Society for I</t>
  </si>
  <si>
    <t>https://doi.org/10.1200/JCO.23.00857</t>
  </si>
  <si>
    <t>Relaxation therapies may be offered to people with cancer to improve depression symptoms during active treatment.</t>
  </si>
  <si>
    <t>343</t>
  </si>
  <si>
    <t>Platelets: Thrombocytopenia is most common with niraparib. Niraparib dosing guidelines should be used to lower starting dose (200 mg) based on weight and platelet count. Discontinue PARPi for persiste</t>
  </si>
  <si>
    <t>344</t>
  </si>
  <si>
    <t>Recommendation 4.2. (Basic and limited settings) Double contrast barium enema may be performed.</t>
  </si>
  <si>
    <t>345</t>
  </si>
  <si>
    <t>asco_metastatic_pancreatic_cancer_asco_guideline_update_</t>
  </si>
  <si>
    <t>Metastatic Pancreatic Cancer: ASCO Guideline Update.</t>
  </si>
  <si>
    <t>https://doi.org/10.1200/JCO.20.01364</t>
  </si>
  <si>
    <t xml:space="preserve">In patients who have a germline BRCA1 or BRCA2 mutation and who have received first-line platinum-based chemotherapy without disease progression for at least 16 weeks, options for continued treatment </t>
  </si>
  <si>
    <t>346</t>
  </si>
  <si>
    <t>asco_biomarkers_adjuvant_breast_cancer_2022</t>
  </si>
  <si>
    <t>Biomarkers Adjuvant Breast Cancer</t>
  </si>
  <si>
    <t>https://doi.org/10.1200/JCO.22.00069</t>
  </si>
  <si>
    <t>If a patient is postmenopausal and has breast cancer that is node-negative or node-positive with 1-3 positive nodes, the clinician may use the EndoPredict test to guide decisions for adjuvant endocrin</t>
  </si>
  <si>
    <t>347</t>
  </si>
  <si>
    <t>Recommendation 5.3. For all patients with NPC receiving adjuvant chemotherapy and with a contraindication to platinum-containing chemotherapy, the use of non-platinum-based regimens remains experiment</t>
  </si>
  <si>
    <t>348</t>
  </si>
  <si>
    <t>asco_dyspnea_advanced_cancer_2021</t>
  </si>
  <si>
    <t>Dyspnea Advanced Cancer</t>
  </si>
  <si>
    <t>https://doi.org/10.1200/JCO.20.03465</t>
  </si>
  <si>
    <t>Standard supplemental oxygen should be available for patients with hypoxemia who are experiencing dyspnea (ie, SpO2 &lt;= 90% on room air).</t>
  </si>
  <si>
    <t>349</t>
  </si>
  <si>
    <t>asco_treatment_of_malignant_pleural_mesothelioma_americ</t>
  </si>
  <si>
    <t>Treatment of Malignant Pleural Mesothelioma: American Society of Clinical Oncology Clinical Practice</t>
  </si>
  <si>
    <t>https://doi.org/10.1200/JCO.2017.76.6394</t>
  </si>
  <si>
    <t>Hemithoracic adjuvant radiation therapy may be offered to patients who undergo non–lung-sparing cytoreductive surgery (EPP), preferably in centers of excellence with experience in this modality for me</t>
  </si>
  <si>
    <t>350</t>
  </si>
  <si>
    <t>asco_anxiety_depression_cancer_survivors_2023</t>
  </si>
  <si>
    <t>Anxiety Depression Cancer Survivors</t>
  </si>
  <si>
    <t>https://doi.org/10.1200/JCO.23.00293</t>
  </si>
  <si>
    <t>Clinicians should use a stepped-care model, that is, selecting the most effective and least resource-intensive intervention based on symptom severity when selecting treatment for anxiety and/or depres</t>
  </si>
  <si>
    <t>351</t>
  </si>
  <si>
    <t>Treating clinicians may offer a pharmacologic regimen for anxiety in patients without access to first-line treatment, those expressing a preference for pharmacotherapy, or those who do not improve fol</t>
  </si>
  <si>
    <t>352</t>
  </si>
  <si>
    <t>Clinicians should not administer MEK inhibitors such as trametinib in any trimester due to risks of teratogenicity, growth restriction, and neonatal toxicity.</t>
  </si>
  <si>
    <t>353</t>
  </si>
  <si>
    <t>Patients with histologically confirmed sarcomatoid mesothelioma should not be offered maximal surgical cytoreduction (Type of recommendation: evidence based; Evidence quality: intermediate; Strength o</t>
  </si>
  <si>
    <t>354</t>
  </si>
  <si>
    <t xml:space="preserve">Treating clinicians may offer a pharmacologic regimen for depression in patients without access to first-line treatment, those expressing a preference for pharmacotherapy, or those who do not improve </t>
  </si>
  <si>
    <t>355</t>
  </si>
  <si>
    <t>For patients with stage I or II node-negative LS-SCLC who are medically inoperable, either SBRT or conventional fractionation is recommended.</t>
  </si>
  <si>
    <t>356</t>
  </si>
  <si>
    <t>For patients with symptoms of carcinoid syndrome (ie, flushing and/or diarrhea), therapy with a long-acting SSA should be offered as first-line therapy, following exclusion of other causes of diarrhea</t>
  </si>
  <si>
    <t>357</t>
  </si>
  <si>
    <t>Patients for whom no primary site is pathologically identified at the time of surgery may benefit from treatment to the anatomic mucosal regions at risk of harboring the occult primary site, as define</t>
  </si>
  <si>
    <t>358</t>
  </si>
  <si>
    <t>Recommendation 1.1. (Basic setting) People should receive highly sensitive guaiac fecal occult blood test (gFOBT), preferably every year, or alternatively every 2 years, depending on available resourc</t>
  </si>
  <si>
    <t>359</t>
  </si>
  <si>
    <t>idsa_fever_and_neutropenia_in_adults_with_cancer</t>
  </si>
  <si>
    <t>ASCO/IDSA</t>
  </si>
  <si>
    <t>Infectious Disease</t>
  </si>
  <si>
    <t>ASCO/IDSA Clinical Practice Guideline Update for Outpatient Management of Fever and Neutropenia in A</t>
  </si>
  <si>
    <t>https://doi.org/10.1200/JCO.2017.77.6211</t>
  </si>
  <si>
    <t>The first dose of empirical therapy should be administered within 1 hour after triage from initial presentation. The following recommendations from the 2010 IDSA guidelines are endorsed: patients seen</t>
  </si>
  <si>
    <t>360</t>
  </si>
  <si>
    <t>In the absence of an alternative explanation, clinicians should assume that fever in a patient with neutropenia from cancer therapy is the result of an infection. The initial diagnostic approach shoul</t>
  </si>
  <si>
    <t>361</t>
  </si>
  <si>
    <t xml:space="preserve">The Clinical Index of Stable Febrile Neutropenia (CISNE; Table 4) may be used as an additional tool to determine the risk of major complications among the group of patients with solid tumors who have </t>
  </si>
  <si>
    <t>362</t>
  </si>
  <si>
    <t>ascrs_surgical_site_infection_prevention_colorectal_2024</t>
  </si>
  <si>
    <t>ASCRS</t>
  </si>
  <si>
    <t>General Surgery</t>
  </si>
  <si>
    <t>The American Society of Colon and Rectal Surgeons Clinical Practice Guidelines for Preventing Surgic</t>
  </si>
  <si>
    <t>https://doi.org/10.1097/DCR.0000000000003450</t>
  </si>
  <si>
    <t>Maintaining intraoperative normothermia may decrease the incidence of SSI in patients undergoing colorectal surgery</t>
  </si>
  <si>
    <t>363</t>
  </si>
  <si>
    <t>Implementing an SSI bundle for patients undergoing colorectal surgery can decrease the incidence of SSI</t>
  </si>
  <si>
    <t>364</t>
  </si>
  <si>
    <t>Cleansing the surgical site with chlorhexidine–alcohol-based preparation is typically recommended for patients undergoing colorectal surgery</t>
  </si>
  <si>
    <t>365</t>
  </si>
  <si>
    <t>ash_vte_anticoagulation_2018</t>
  </si>
  <si>
    <t>ASH</t>
  </si>
  <si>
    <t>Hematology</t>
  </si>
  <si>
    <t>VTE: Optimal Management of Anticoagulation Therapy</t>
  </si>
  <si>
    <t>https://doi.org/10.1182/bloodadvances.2018024893</t>
  </si>
  <si>
    <t>For patients receiving maintenance VKA therapy for treatment of VTE, the ASH guideline panel recommends using point-of-care INR testing by the patient at home and self-adjustment of VKA dose (PSM) ove</t>
  </si>
  <si>
    <t>366</t>
  </si>
  <si>
    <t>ash_vte_hit_2018</t>
  </si>
  <si>
    <t>VTE: Heparin-Induced Thrombocytopenia</t>
  </si>
  <si>
    <t>https://doi.org/10.1182/bloodadvances.2018024489</t>
  </si>
  <si>
    <t>In patients with HITT or acute HIT without thrombosis (isolated HIT), the ASH guideline panel recommends discontinuation of heparin and initiation of a non-heparin anticoagulant</t>
  </si>
  <si>
    <t>367</t>
  </si>
  <si>
    <t>ash_vte_diagnosis_2018</t>
  </si>
  <si>
    <t>VTE: Diagnosis of Venous Thromboembolism</t>
  </si>
  <si>
    <t>https://doi.org/10.1182/bloodadvances.2018024828</t>
  </si>
  <si>
    <t>For excluding upper extremity DVT in a population with low prevalence/unlikely PTP (10%), the ASH guideline panel suggests a strategy starting with D-dimer, followed by duplex ultrasound if D-dimer is</t>
  </si>
  <si>
    <t>368</t>
  </si>
  <si>
    <t>ash_itp_2019</t>
  </si>
  <si>
    <t>Immune Thrombocytopenia</t>
  </si>
  <si>
    <t>https://doi.org/10.1182/bloodadvances.2019000966</t>
  </si>
  <si>
    <t>Recommendation 14. In children with newly diagnosed ITP who have non-life-threatening mucosal bleeding and/or diminished HRQoL, the ASH guideline panel recommends against courses of corticosteroids lo</t>
  </si>
  <si>
    <t>very low certainty</t>
  </si>
  <si>
    <t>369</t>
  </si>
  <si>
    <t>ash_scd_cardiopulmonary_2019</t>
  </si>
  <si>
    <t>Sickle Cell Disease: Cardiopulmonary and Kidney Disease</t>
  </si>
  <si>
    <t>https://doi.org/10.1182/bloodadvances.2019000916</t>
  </si>
  <si>
    <t>For children and adults with SCD and advanced chronic kidney disease or end-stage renal disease, the ASH guideline panel suggests referral for renal transplant</t>
  </si>
  <si>
    <t>370</t>
  </si>
  <si>
    <t>ash_vte_pediatric_2018</t>
  </si>
  <si>
    <t>VTE: Treatment of Pediatric Venous Thromboembolism</t>
  </si>
  <si>
    <t>https://doi.org/10.1182/bloodadvances.2018024786</t>
  </si>
  <si>
    <t>The ASH guideline panel recommends against using thrombolysis followed by standard anticoagulation; rather, anticoagulation alone should be used in neonates with non-life-threatening RVT.</t>
  </si>
  <si>
    <t>371</t>
  </si>
  <si>
    <t>ash_vte_surgical_prophylaxis_2019</t>
  </si>
  <si>
    <t>VTE: Prevention in Surgical Hospitalized Patients</t>
  </si>
  <si>
    <t>https://doi.org/10.1182/bloodadvances.2019000975</t>
  </si>
  <si>
    <t>When pharmacological prophylaxis is used, the panel suggests using LMWH or UFH</t>
  </si>
  <si>
    <t>372</t>
  </si>
  <si>
    <t>ash_scd_pain_2020</t>
  </si>
  <si>
    <t>Sickle Cell Disease: Management of Acute and Chronic Pain</t>
  </si>
  <si>
    <t>https://doi.org/10.1182/bloodadvances.2020001851</t>
  </si>
  <si>
    <t>For adults and children presenting for acute pain related to SCD, the ASH guideline panel suggests against corticosteroids for acute pain management.</t>
  </si>
  <si>
    <t>373</t>
  </si>
  <si>
    <t xml:space="preserve">The ASH guideline panel suggests using AT replacement therapy in addition to standard anticoagulation rather than standard anticoagulation alone in pediatric patients with DVT/CSVT/PE who have failed </t>
  </si>
  <si>
    <t>374</t>
  </si>
  <si>
    <t xml:space="preserve">For patients receiving anticoagulation therapy for VTE who survive an episode of major bleeding, the ASH guideline panel suggests resumption of oral anticoagulation therapy within 90 days rather than </t>
  </si>
  <si>
    <t>375</t>
  </si>
  <si>
    <t>For patients undergoing major gynecological surgery, the ASH guideline panel suggests using pharmacological prophylaxis over no pharmacological prophylaxis</t>
  </si>
  <si>
    <t>376</t>
  </si>
  <si>
    <t>ash_vwd_diagnosis_2021</t>
  </si>
  <si>
    <t>Von Willebrand Disease: Diagnosis (ASH/ISTH/NHF/WFH)</t>
  </si>
  <si>
    <t>https://doi.org/10.1182/bloodadvances.2020003265</t>
  </si>
  <si>
    <t>The panel suggests targeted genetic testing over low-dose ristocetin-induced platelet agglutination (RIPA) to diagnose type 2B VWD for patients suspected of type 2A or 2B in need of additional testing</t>
  </si>
  <si>
    <t>377</t>
  </si>
  <si>
    <t>ash_vte_prophylaxis_medical_2018</t>
  </si>
  <si>
    <t>VTE: Prophylaxis for Hospitalized and Nonhospitalized Medical Patients</t>
  </si>
  <si>
    <t>https://doi.org/10.1182/bloodadvances.2018022954</t>
  </si>
  <si>
    <t xml:space="preserve">In acutely or critically ill medical patients who are receiving mechanical VTE prophylaxis, the ASH guideline panel suggests using pneumatic compression devices or graduated compression stockings for </t>
  </si>
  <si>
    <t>378</t>
  </si>
  <si>
    <t>For adults and children with SCD presenting to an acute care setting with acute pain related to SCD, the ASH guideline panel recommends rapid (within 1 hour of emergency department [ED] arrival) asses</t>
  </si>
  <si>
    <t>379</t>
  </si>
  <si>
    <t>For patients receiving anticoagulation therapy for treatment of VTE, the ASH guideline panel suggests against using visual medication schedules (provided to patients at each visit, along with brief co</t>
  </si>
  <si>
    <t>380</t>
  </si>
  <si>
    <t>In patients with suspected HIT and an intermediate-probability 4Ts score who have another indication for therapeutic-intensity anticoagulation, the ASH guideline panel recommends discontinuation of he</t>
  </si>
  <si>
    <t>381</t>
  </si>
  <si>
    <t>For patients undergoing hip fracture repair, the ASH guideline panel suggests using LMWH or UFH</t>
  </si>
  <si>
    <t>382</t>
  </si>
  <si>
    <t>asrm_premature_ovarian_insufficiency_2024</t>
  </si>
  <si>
    <t>ASRM</t>
  </si>
  <si>
    <t>Reproductive Medicine</t>
  </si>
  <si>
    <t>Evidence-based guideline: premature ovarian insufficiency</t>
  </si>
  <si>
    <t>https://doi.org/10.1093/hropen/hoae065</t>
  </si>
  <si>
    <t>The guideline group recommends that women with POI should be encouraged to adopt a healthy lifestyle (including healthy diet, physical activity, avoiding smoking, and maintaining normal body weight) t</t>
  </si>
  <si>
    <t>GPP</t>
  </si>
  <si>
    <t>383</t>
  </si>
  <si>
    <t>Women with POI should be informed that POI substantially reduces the chances of natural conception.</t>
  </si>
  <si>
    <t>384</t>
  </si>
  <si>
    <t>The guideline group recommends referral of women with POI to appropriate support groups and mental health care.</t>
  </si>
  <si>
    <t>385</t>
  </si>
  <si>
    <t>The guideline group recommends that HCPs discuss the implications of genetic testing before the test is performed. Referral for comprehensive genetic counselling should be considered.</t>
  </si>
  <si>
    <t>386</t>
  </si>
  <si>
    <t>HT is recommended to maintain bone density and prevent osteoporosis.</t>
  </si>
  <si>
    <t>387</t>
  </si>
  <si>
    <t>Testosterone treatment could be considered in women with non-iatrogenic POI to manage hypoactive sexual desire disorder when other biopsychosocial aetiologies are excluded.</t>
  </si>
  <si>
    <t>388</t>
  </si>
  <si>
    <t>The guideline group recommends that fertility preservation is discussed with women at risk of POI. In most women with POI, there is no opportunity for fertility preservation as the follicle pool is de</t>
  </si>
  <si>
    <t>389</t>
  </si>
  <si>
    <t>astro_gastric_cancer_radiation_therapy_2026</t>
  </si>
  <si>
    <t>ASTRO</t>
  </si>
  <si>
    <t>Radiation Therapy for Gastric Cancer: An ASTRO Clinical Practice Guideline</t>
  </si>
  <si>
    <t>https://doi.org/10.1016/j.prro.2025.10.010</t>
  </si>
  <si>
    <t>For patients with metastatic gastric cancer and controlled systemic burden, RT to the primary tumor is conditionally recommended.</t>
  </si>
  <si>
    <t>390</t>
  </si>
  <si>
    <t>For patients with cT2-4 and/or N+ resectable gastric cancer receiving perioperative chemotherapy, FLOT is recommended over ECF or ECX.</t>
  </si>
  <si>
    <t>391</t>
  </si>
  <si>
    <t>For patients with nonmetastatic gastric cancer receiving preoperative chemoradiation, coverage of the entire stomach and perigastric extension and regional lymph nodes is recommended.</t>
  </si>
  <si>
    <t>392</t>
  </si>
  <si>
    <t>ata_thyroid_disease_pregnancy_postpartum_2017</t>
  </si>
  <si>
    <t>ATA</t>
  </si>
  <si>
    <t>2017 Guidelines of the American Thyroid Association for the Diagnosis and Management of Thyroid Dise</t>
  </si>
  <si>
    <t>https://doi.org/10.1089/thy.2016.0457</t>
  </si>
  <si>
    <t>Euthyroid pregnant women who are TPOAb or TgAb positive should have measurement of serum TSH concentration performed at time of pregnancy confirmation and every 4 weeks through midpregnancy.</t>
  </si>
  <si>
    <t>high-quality evidence</t>
  </si>
  <si>
    <t>393</t>
  </si>
  <si>
    <t>ata_differentiated_thyroid_cancer_adults_2025</t>
  </si>
  <si>
    <t>2025 American Thyroid Association Management Guidelines for Adult Patients with Differentiated Thyro</t>
  </si>
  <si>
    <t>https://doi.org/10.1177/10507256251363120</t>
  </si>
  <si>
    <t xml:space="preserve">3. For patients with low-risk DTC treated with a total thyroidectomy alone and a sustained excellent response 5-8 years after initial therapy, routine ultrasound can be discontinued, and patients can </t>
  </si>
  <si>
    <t>394</t>
  </si>
  <si>
    <t>The severity of maternal and fetal thyroid illness should guide the timing of communication. Severe, progressive, or complex thyroid illness during pregnancy mandates communication with the neonatolog</t>
  </si>
  <si>
    <t>moderate-quality evidence</t>
  </si>
  <si>
    <t>395</t>
  </si>
  <si>
    <t>When antithyroid medication is indicated for women who are lactating, both MMI (up to maximal dose of 20 mg/d) and PTU (up to maximal dose of 450 mg/d) can be administered. Given a small, but detectab</t>
  </si>
  <si>
    <t>396</t>
  </si>
  <si>
    <t>LT4 therapy may be considered for TPOAb-negative women with TSH concentrations greater than the pregnancy-specific reference range and below 10.0 mU/L.</t>
  </si>
  <si>
    <t>low-quality evidence</t>
  </si>
  <si>
    <t>397</t>
  </si>
  <si>
    <t xml:space="preserve">C. The addition of FNA-Tg washout in the evaluation of suspicious cervical lymph nodes may be performed in select preoperative patients, but interpretation may be difficult in patients with an intact </t>
  </si>
  <si>
    <t>398</t>
  </si>
  <si>
    <t>Insufficient evidence exists to determine if LT4 therapy improves fertility in nonpregnant, thyroid autoantibody-positive euthyroid women who are attempting natural conception (not undergoing ART). Th</t>
  </si>
  <si>
    <t>No recommendation, insufficient evidence</t>
  </si>
  <si>
    <t>399</t>
  </si>
  <si>
    <t>There is no need to initiate iodine supplementation in pregnant women who are being treated for hyperthyroidism or who are taking LT4.</t>
  </si>
  <si>
    <t>400</t>
  </si>
  <si>
    <t>B. RAI can be considered if central nervous system metastases concentrate RAI. If RAI is planned, SBRT and concomitant glucocorticoid therapy are recommended prior to RAI therapy to minimize the effec</t>
  </si>
  <si>
    <t>Good Practice Statement</t>
  </si>
  <si>
    <t>401</t>
  </si>
  <si>
    <t>In the care of women with adequately treated hypothyroidism, no other maternal or fetal testing (such as serial fetal ultrasounds, antenatal testing, and/or umbilical blood sampling) is recommended be</t>
  </si>
  <si>
    <t>402</t>
  </si>
  <si>
    <t>The impact of pregnancy on women with newly diagnosed medullary carcinoma or anaplastic cancer is unknown. However, a delay in treatment is likely to adversely affect outcome. Therefore, surgery shoul</t>
  </si>
  <si>
    <t>403</t>
  </si>
  <si>
    <t>C. A Sistrunk procedure and total thyroidectomy should be performed for TGDCa with evidence of more advanced disease (e.g., gross extension of tumor into surrounding tissues, nodal or distant metastas</t>
  </si>
  <si>
    <t>404</t>
  </si>
  <si>
    <t>B. Patients with DTC who are at low- and low-intermediate risk of recurrence and who have excellent response to therapy do not require routine diagnostic radioiodine WBS during follow-up. (Conditional</t>
  </si>
  <si>
    <t>405</t>
  </si>
  <si>
    <t>D. SPECT-CT radioiodine imaging may be performed in addition to planar imaging to anatomically localize the radioiodine uptake and distinguish between likely cancer and nonspecific uptake. (Conditiona</t>
  </si>
  <si>
    <t>406</t>
  </si>
  <si>
    <t>ats_treatment_of_nontuberculous_mycobacterial_pulmonary_disease</t>
  </si>
  <si>
    <t>ATS</t>
  </si>
  <si>
    <t>Pulmonology</t>
  </si>
  <si>
    <t>Treatment of Nontuberculous Mycobacterial Pulmonary Disease: An Official ATS/ERS/ESCMID/IDSA Clinica</t>
  </si>
  <si>
    <t>https://doi.org/10.1183/13993003.00535-2020</t>
  </si>
  <si>
    <t>In selected patients with NTM pulmonary disease, we suggest surgical resection as an adjuvant to medical therapy after expert consultation.</t>
  </si>
  <si>
    <t>407</t>
  </si>
  <si>
    <t>ats_initiating_pharmacologic_treatment_in_tobacco_dependent_adul</t>
  </si>
  <si>
    <t>Initiating Pharmacologic Treatment in Tobacco-Dependent Adults. An Official American Thoracic Societ</t>
  </si>
  <si>
    <t>https://doi.org/10.1164/rccm.202005-1982ST</t>
  </si>
  <si>
    <t>For tobacco-dependent adults with comorbid psychiatric conditions, including substance-use disorder, depression, anxiety, schizophrenia, and/or bipolar disorder, for whom treatment is being initiated,</t>
  </si>
  <si>
    <t>408</t>
  </si>
  <si>
    <t>ats_treatment_of_drug_resistant_tuberculosis_an_official_ats_cdc</t>
  </si>
  <si>
    <t>Treatment of Drug-Resistant Tuberculosis. An Official ATS/CDC/ERS/IDSA Clinical Practice Guideline</t>
  </si>
  <si>
    <t>https://doi.org/10.1164/rccm.201909-1874ST</t>
  </si>
  <si>
    <t>We recommend NOT including amoxicillin-clavulanate, with the exception of when the patient is receiving a carbapenem wherein the inclusion of clavulanate is necessary.</t>
  </si>
  <si>
    <t>409</t>
  </si>
  <si>
    <t>ats_treatment_of_nicotine_use_in_adolescents_under_18_years_of_a</t>
  </si>
  <si>
    <t>Treatment of Nicotine Use in Adolescents Under 18 Years of Age: An Official American Thoracic Societ</t>
  </si>
  <si>
    <t>https://doi.org/10.1164/rccm.202507-1577ST</t>
  </si>
  <si>
    <t>For adolescents 10 to 18 years of age who use nicotine and/or tobacco products, we suggest a trial of varenicline.</t>
  </si>
  <si>
    <t>410</t>
  </si>
  <si>
    <t>ats_management_of_persistent_post_adenotonsillectomy_obstructive</t>
  </si>
  <si>
    <t>Management of Persistent, Post-adenotonsillectomy Obstructive Sleep Apnea in Children: An Official A</t>
  </si>
  <si>
    <t>https://doi.org/10.1164/rccm.202310-1857ST</t>
  </si>
  <si>
    <t>We suggest that children with persistent OSA who are overweight or obese undergo weight loss intervention.</t>
  </si>
  <si>
    <t>411</t>
  </si>
  <si>
    <t>ats_treatment_of_systemic_sclerosis_associated_interstitial_lung</t>
  </si>
  <si>
    <t>Treatment of Systemic Sclerosis–associated Interstitial Lung Disease: Evidence-based Recommendations</t>
  </si>
  <si>
    <t>https://doi.org/10.1164/rccm.202306-1113ST</t>
  </si>
  <si>
    <t>We recommend further research into the safety and efficacy of pirfenidone to treat patients with SSc-ILD.</t>
  </si>
  <si>
    <t>412</t>
  </si>
  <si>
    <t>ats_pharmacologic_management_of_chronic_obstructive_pulmonary_di</t>
  </si>
  <si>
    <t>Pharmacologic Management of Chronic Obstructive Pulmonary Disease. An Official American Thoracic Soc</t>
  </si>
  <si>
    <t>https://doi.org/10.1164/rccm.202003-0625ST</t>
  </si>
  <si>
    <t>In patients with COPD who complain of dyspnea or exercise intolerance, we recommend LABA/LAMA combination therapy over LABA or LAMA monotherapy.</t>
  </si>
  <si>
    <t>413</t>
  </si>
  <si>
    <t>ats_home_oxygen_therapy_for_children_an_official_american_thorac</t>
  </si>
  <si>
    <t>Home Oxygen Therapy for Children. An Official American Thoracic Society Clinical Practice Guideline</t>
  </si>
  <si>
    <t>https://doi.org/10.1164/rccm.201812-2276ST</t>
  </si>
  <si>
    <t>For patients with interstitial lung disease who have mild chronic hypoxemia and either dyspnea on exertion or desaturation during sleep or exertion, we suggest that home oxygen therapy be prescribed.</t>
  </si>
  <si>
    <t>414</t>
  </si>
  <si>
    <t>In tobacco-dependent adults who are not ready to discontinue tobacco use, we recommend that clinicians begin treatment with varenicline rather than waiting until patients are ready to stop tobacco use</t>
  </si>
  <si>
    <t>415</t>
  </si>
  <si>
    <t>bad_biologic_therapy_psoriasis_2009</t>
  </si>
  <si>
    <t>BAD</t>
  </si>
  <si>
    <t>British Association of Dermatologists' guidelines for biologic interventions for psoriasis 2009</t>
  </si>
  <si>
    <t>https://doi.org/10.1111/j.1365-2133.2009.09505.x</t>
  </si>
  <si>
    <t>In patients who respond, treatment may be continued according to clinical need, although long-term data on efficacy are limited to 1 year</t>
  </si>
  <si>
    <t>1+</t>
  </si>
  <si>
    <t>2+</t>
  </si>
  <si>
    <t>416</t>
  </si>
  <si>
    <t>bad_generalized_pruritus_adults_without_underlying_2018</t>
  </si>
  <si>
    <t>British Association of Dermatologists' guidelines for the investigation and management of generalize</t>
  </si>
  <si>
    <t>https://doi.org/10.1111/bjd.16117</t>
  </si>
  <si>
    <t>Patients with HIV-associated pruritus may benefit from oral PUVA</t>
  </si>
  <si>
    <t>417</t>
  </si>
  <si>
    <t>bad_pemphigus_vulgaris_2017</t>
  </si>
  <si>
    <t>British Association of Dermatologists' guidelines for the management of pemphigus vulgaris 2017</t>
  </si>
  <si>
    <t>https://doi.org/10.1111/bjd.15930</t>
  </si>
  <si>
    <t>Gold (historical treatment): could be considered as an alternative to more established adjuvant drugs if they cannot be used or are unavailable.</t>
  </si>
  <si>
    <t>418</t>
  </si>
  <si>
    <t>bad_azathioprine_prescribing_dermatology_2011</t>
  </si>
  <si>
    <t>British Association of Dermatologists' guidelines for the safe and effective prescribing of azathiop</t>
  </si>
  <si>
    <t>https://doi.org/10.1111/j.1365-2133.2011.10575.x</t>
  </si>
  <si>
    <t>Side-effects such as dose-dependent nausea may be minimized by building up to the recommended maintenance dose over the first few weeks of therapy.</t>
  </si>
  <si>
    <t>419</t>
  </si>
  <si>
    <t>bad_methotrexate_prescribing_skin_disease_2016</t>
  </si>
  <si>
    <t>British Association of Dermatologists' guidelines for the safe and effective prescribing of methotre</t>
  </si>
  <si>
    <t>https://doi.org/10.1111/bjd.14816</t>
  </si>
  <si>
    <t>Langerhans cell histiocytosis: methotrexate may be used.</t>
  </si>
  <si>
    <t>D</t>
  </si>
  <si>
    <t>420</t>
  </si>
  <si>
    <t>Chronic spontaneous/idiopathic urticaria: methotrexate may be used.</t>
  </si>
  <si>
    <t>421</t>
  </si>
  <si>
    <t>Patients with aquagenic pruritus may benefit from NB-UVB, BB-UVB or combined UVA and UVB to relieve itch</t>
  </si>
  <si>
    <t>422</t>
  </si>
  <si>
    <t>When antituberculous therapy is indicated, patients should complete 2 months of treatment before commencing biologic therapy with either isoniazid (6 months) or rifampicin plus isoniazid (3 months) or</t>
  </si>
  <si>
    <t>423</t>
  </si>
  <si>
    <t>bad_tinea_capitis_2014</t>
  </si>
  <si>
    <t>British Association of Dermatologists' guidelines for the management of tinea capitis 2014</t>
  </si>
  <si>
    <t>https://doi.org/10.1111/bjd.13196</t>
  </si>
  <si>
    <t>Failure to treat the whole family will result in high recurrence rates; we recommend screening of all family members and treating those found positive (index cases due to T. tonsurans).</t>
  </si>
  <si>
    <t>2++</t>
  </si>
  <si>
    <t>424</t>
  </si>
  <si>
    <t>Pemphigus in pregnancy: prednisolone alone is the most common (first-line systemic) treatment; certain second-line treatments (e.g. azathioprine, IVIg, plasmapheresis) have been used safely when neede</t>
  </si>
  <si>
    <t>425</t>
  </si>
  <si>
    <t>Alopecia areata: methotrexate may be used.</t>
  </si>
  <si>
    <t>426</t>
  </si>
  <si>
    <t>Rituximab: effective adjuvant; the RA protocol (2 x 1 g infusions 2 weeks apart) shown effective in combination with corticosteroids.</t>
  </si>
  <si>
    <t>427</t>
  </si>
  <si>
    <t>bad_cutaneous_warts_2014</t>
  </si>
  <si>
    <t>British Association of Dermatologists' guidelines for the management of cutaneous warts 2014</t>
  </si>
  <si>
    <t>https://doi.org/10.1111/bjd.13310</t>
  </si>
  <si>
    <t>Homeopathy</t>
  </si>
  <si>
    <t>1−</t>
  </si>
  <si>
    <t>428</t>
  </si>
  <si>
    <t>bad_primary_cutaneous_lymphomas_2019</t>
  </si>
  <si>
    <t>British Association of Dermatologists and U.K. Cutaneous Lymphoma Group guidelines for the managemen</t>
  </si>
  <si>
    <t>https://doi.org/10.1111/bjd.17240</t>
  </si>
  <si>
    <t>PCLBCL leg type should be treated with R-CHOP chemotherapy followed by local radiotherapy as per local guidelines for systemic DLBCL. Current protocols recommend three to six cycles of R-CHOP chemothe</t>
  </si>
  <si>
    <t>429</t>
  </si>
  <si>
    <t>Dithranol</t>
  </si>
  <si>
    <t>2−</t>
  </si>
  <si>
    <t>0.375</t>
  </si>
  <si>
    <t>430</t>
  </si>
  <si>
    <t>Pemphigus vulgaris in children: systemic corticosteroids are the treatment of choice in childhood and juvenile PV, with the same adjuvant therapies as in adults; monitor for growth retardation and adr</t>
  </si>
  <si>
    <t>431</t>
  </si>
  <si>
    <t>In patients with generalized pruritus associated with HIV consider hypnosis to relieve itch</t>
  </si>
  <si>
    <t>432</t>
  </si>
  <si>
    <t>Liver function tests should form part of the investigation of GPWOR. Perhaps consider bile acids and antimitochondrial antibodies. Any suggestion of significant hepatic impairment should lead to a ref</t>
  </si>
  <si>
    <t>433</t>
  </si>
  <si>
    <t>bad_actinic_keratosis_2017</t>
  </si>
  <si>
    <t>British Association of Dermatologists' guidelines for the care of patients with actinic keratosis 20</t>
  </si>
  <si>
    <t>https://doi.org/10.1111/bjd.15107</t>
  </si>
  <si>
    <t>Ingenol mebutate cream (150 ug/g face and scalp, 500 ug/g limbs and trunk): for non-keratotic, non-hypertrophic grade 1 and 2 AK, applied on consecutive days to the chosen field.</t>
  </si>
  <si>
    <t>434</t>
  </si>
  <si>
    <t>Salicylic acid for the treatment of cutaneous warts</t>
  </si>
  <si>
    <t>435</t>
  </si>
  <si>
    <t>It is reasonable to begin treatment on the basis of one or more cardinal signs while awaiting confirmatory mycology.</t>
  </si>
  <si>
    <t>436</t>
  </si>
  <si>
    <t>bad_ultraviolet_phototherapy_dosimetry_uv_radiation_2015</t>
  </si>
  <si>
    <t>Guidelines on the measurement of ultraviolet radiation levels in ultraviolet phototherapy: report is</t>
  </si>
  <si>
    <t>https://doi.org/10.1111/bjd.13937</t>
  </si>
  <si>
    <t>The DPI in all treatment cabins should be regularly measured, directly or indirectly, using a traceably calibrated radiometer.</t>
  </si>
  <si>
    <t>437</t>
  </si>
  <si>
    <t>bap_bipolar_disorder_2016</t>
  </si>
  <si>
    <t>BAP</t>
  </si>
  <si>
    <t xml:space="preserve">Evidence-based guidelines for treating bipolar disorder: revised third edition recommendations from </t>
  </si>
  <si>
    <t>https://doi.org/10.1177/0269881116636545</t>
  </si>
  <si>
    <t>Consider continuation of clozapine if effective in refractory mania.</t>
  </si>
  <si>
    <t>438</t>
  </si>
  <si>
    <t>Offer naltrexone or nalmefene as part of a behavioural programme to help patients with co-morbid alcohol use disorder reduce their alcohol consumption.</t>
  </si>
  <si>
    <t>439</t>
  </si>
  <si>
    <t>Antidepressant drugs should usually be tapered and discontinued in a manic episode.</t>
  </si>
  <si>
    <t>440</t>
  </si>
  <si>
    <t>bap_catatonia_2023</t>
  </si>
  <si>
    <t>Evidence-based consensus guidelines for the management of catatonia: Recommendations from the Britis</t>
  </si>
  <si>
    <t>https://doi.org/10.1177/02698811231158232</t>
  </si>
  <si>
    <t>In mild or moderate hepatic impairment, lorazepam dosing does not usually need to be altered, but caution should be exercised when considering lorazepam in severe hepatic impairment.</t>
  </si>
  <si>
    <t>441</t>
  </si>
  <si>
    <t>Physical examination should include assessment for catatonic signs, signs of medical conditions that may have led to the catatonia and signs of medical complications of catatonia.</t>
  </si>
  <si>
    <t>442</t>
  </si>
  <si>
    <t>In patients experiencing a first episode of catatonia or where the diagnosis underlying catatonia is unclear, consider a CT or MRI scan of the brain.</t>
  </si>
  <si>
    <t>443</t>
  </si>
  <si>
    <t>bhiva_hiv_1_antiretroviral_therapy_adults_2022</t>
  </si>
  <si>
    <t>BHIVA</t>
  </si>
  <si>
    <t>British HIV Association guidelines for the management of HIV-1 in adults with antiretroviral therapy</t>
  </si>
  <si>
    <t>https://doi.org/10.1111/hiv.13446</t>
  </si>
  <si>
    <t>Long-acting cabotegravir/rilpivirine can be continued in people who have received it in a clinical trial.</t>
  </si>
  <si>
    <t>444</t>
  </si>
  <si>
    <t>We suggest that lamivudine and emtricitabine are dose adjusted in people with a confirmed eGFR of &lt;30 mL/min/1.73 m2.</t>
  </si>
  <si>
    <t>445</t>
  </si>
  <si>
    <t>We recommend tenofovir AF in individuals with an eGFR of 30-60 mL/min/1.73 m2 who require tenofovir.</t>
  </si>
  <si>
    <t>1B</t>
  </si>
  <si>
    <t>446</t>
  </si>
  <si>
    <t>We suggest that an alternative estimate of eGFR (e.g. based on cystatin C) is obtained in individuals in whom reductions in creatinine-based eGFR on drugs that inhibit tubular creatinine secretion may</t>
  </si>
  <si>
    <t>447</t>
  </si>
  <si>
    <t>We recommend that in the context of low-level viraemia or repeated viral blips, resistance testing should be attempted.</t>
  </si>
  <si>
    <t>1D</t>
  </si>
  <si>
    <t>448</t>
  </si>
  <si>
    <t>bhiva_pulmonary_opportunistic_infections_hiv_2024</t>
  </si>
  <si>
    <t>British HIV Association guidelines on the management of opportunistic infection in people living wit</t>
  </si>
  <si>
    <t>https://doi.org/10.1111/hiv.13637</t>
  </si>
  <si>
    <t>We recommend that people living with HIV who have bacterial pneumonia and are current smokers should be offered a smoking cessation intervention.</t>
  </si>
  <si>
    <t>Grade 1C</t>
  </si>
  <si>
    <t>449</t>
  </si>
  <si>
    <t>We recommend that all people living with HIV should be on ART.</t>
  </si>
  <si>
    <t>1A</t>
  </si>
  <si>
    <t>450</t>
  </si>
  <si>
    <t>We recommend trimethoprim-sulfamethoxazole 960 mg (one double-strength tablet) or 480 mg (one single-strength tablet) once daily to prevent a first episode of PCP.</t>
  </si>
  <si>
    <t>Grade 1A</t>
  </si>
  <si>
    <t>451</t>
  </si>
  <si>
    <t>We recommend against treatment interruption or intermittent therapy in individuals stable on a virally suppressive ART regimen except in the context of clinical trials.</t>
  </si>
  <si>
    <t>452</t>
  </si>
  <si>
    <t xml:space="preserve">We suggest that consideration, on an individual basis, should be given to whether inclusion of NRTIs with reduced activity on genotypic testing will provide additional antiviral activity; this may be </t>
  </si>
  <si>
    <t>2A</t>
  </si>
  <si>
    <t>453</t>
  </si>
  <si>
    <t>We recommend that people living with HIV are given the opportunity to contribute actively to decisions about their treatment.</t>
  </si>
  <si>
    <t>454</t>
  </si>
  <si>
    <t>bsg_PMC8355884</t>
  </si>
  <si>
    <t>BSG</t>
  </si>
  <si>
    <t xml:space="preserve">Endoscopy in patients on antiplatelet or anticoagulant therapy: British Society of Gastroenterology </t>
  </si>
  <si>
    <t>https://doi.org/10.1136/gutjnl-2021-325184</t>
  </si>
  <si>
    <t>For high-risk endoscopic procedures in patients at low thrombotic risk, we recommend discontinuing warfarin for 5 days before the procedure</t>
  </si>
  <si>
    <t>455</t>
  </si>
  <si>
    <t>bsg_ibd_in_adults_2025</t>
  </si>
  <si>
    <t>British Society of Gastroenterology guidelines on inflammatory bowel disease in adults: 2025</t>
  </si>
  <si>
    <t>https://doi.org/10.1136/gutjnl-2024-334395</t>
  </si>
  <si>
    <t>We suggest that setons should be placed to prevent sepsis in fistulising perianal Crohn’s disease. The optimal timing of seton removal is uncertain and should be based on patient preferences and compl</t>
  </si>
  <si>
    <t>456</t>
  </si>
  <si>
    <t>bsg_autoimmune_hepatitis_2025</t>
  </si>
  <si>
    <t>BSG Autoimmune Hepatitis</t>
  </si>
  <si>
    <t>https://doi.org/10.1136/gutjnl-2024-333171</t>
  </si>
  <si>
    <t>We recommend that patients with suspected AIH should undergo thorough non-invasive liver screening, detailed in box 1 and including (a) liver imaging to exclude biliary obstruction, (b) testing for he</t>
  </si>
  <si>
    <t>457</t>
  </si>
  <si>
    <t>bsg_sedation_gi_endoscopy_2023</t>
  </si>
  <si>
    <t>BSG Sedation GI Endoscopy</t>
  </si>
  <si>
    <t>https://doi.org/10.1136/gutjnl-2023-330396</t>
  </si>
  <si>
    <t>We recommend that endoscopy rooms (or units) should stock flumazenil and naloxone; and all endoscopy clinical staff should be aware of where they are stored and how to access them in case of sedation-</t>
  </si>
  <si>
    <t>458</t>
  </si>
  <si>
    <t>Faecal calprotectin should be used to monitor disease in patients with known Crohn’s disease in a known location, where there is a baseline faecal calprotectin value.</t>
  </si>
  <si>
    <t>459</t>
  </si>
  <si>
    <t>Crohn’s disease patients on a combination of anti-TNF and immunomodulator therapy should be counselled that withdrawal of immunomodulator therapy is not associated with a significant risk of relapse a</t>
  </si>
  <si>
    <t>460</t>
  </si>
  <si>
    <t>We suggest that patients with ulcerative proctitis who do not respond or are intolerant to 5-ASA suppositories/enema or wish to avoid systemic 5-ASA may be switched to corticosteroid suppositories/foa</t>
  </si>
  <si>
    <t>461</t>
  </si>
  <si>
    <t>bsg_hereditary_colorectal_cancer_2020</t>
  </si>
  <si>
    <t>BSG Hereditary Colorectal Cancer</t>
  </si>
  <si>
    <t>https://doi.org/10.1136/gutjnl-2019-319915</t>
  </si>
  <si>
    <t>We recommend that colonic surveillance should normally commence age 12-14 years in those confirmed to have FAP on predictive genetic testing.</t>
  </si>
  <si>
    <t>462</t>
  </si>
  <si>
    <t>We recommend monitoring (see table 1 ) of patients receiving steroids and or thiopurines. This can be done in secondary or primary care if there is a system for accessing and promptly acting on result</t>
  </si>
  <si>
    <t>463</t>
  </si>
  <si>
    <t>For high-risk endoscopic procedures in patients at high thrombotic risk, we recommend that warfarin should be temporarily discontinued and substituted with low molecular weight heparin (LMWH)</t>
  </si>
  <si>
    <t>464</t>
  </si>
  <si>
    <t>bsg_PMC10715509</t>
  </si>
  <si>
    <t>British Society of Gastroenterology guidelines for the diagnosis and management of cholangiocarcinom</t>
  </si>
  <si>
    <t>https://doi.org/10.1136/gutjnl-2023-330029</t>
  </si>
  <si>
    <t>The requirement to have tissue available for molecular profiling to inform treatment decisions should be considered when immunohistochemistry is planned on lesional biopsy material.</t>
  </si>
  <si>
    <t>465</t>
  </si>
  <si>
    <t>bsg_eosinophilic_oesophagitis_2022</t>
  </si>
  <si>
    <t>BSG Eosinophilic Oesophagitis</t>
  </si>
  <si>
    <t>https://doi.org/10.1136/gutjnl-2022-327326</t>
  </si>
  <si>
    <t>Diagnosing and treating eosinophilic oesophagitis effectively early in its natural history may prevent long-term complications of fibrosis and strictures requiring subsequent endoscopic intervention.</t>
  </si>
  <si>
    <t>466</t>
  </si>
  <si>
    <t>bsg_functional_dyspepsia_2022</t>
  </si>
  <si>
    <t>BSG Functional Dyspepsia</t>
  </si>
  <si>
    <t>https://doi.org/10.1136/gutjnl-2022-327737</t>
  </si>
  <si>
    <t>There is insufficient evidence to recommend dietary therapies, including a diet low in fermentable oligosaccharides, disaccharides, and monosaccharides, and polyols in FD</t>
  </si>
  <si>
    <t>467</t>
  </si>
  <si>
    <t>Patients with symptomatic stricturing small bowel Crohn’s disease should have joint medical and surgical assessment to optimise medical therapy and plan requirement for surgical resection or stricture</t>
  </si>
  <si>
    <t>468</t>
  </si>
  <si>
    <t>We recommend that monitoring of sedation should extend into the recovery period until the patient’s conscious state has consistently returned to baseline. This requires sufficient staff trained in sed</t>
  </si>
  <si>
    <t>469</t>
  </si>
  <si>
    <t>We do not recommend routine benzodiazepine reversal after gastrointestinal endoscopy of patients receiving conscious sedation with a benzodiazepine.</t>
  </si>
  <si>
    <t>470</t>
  </si>
  <si>
    <t>bsg_oesophageal_manometry_reflux_2019</t>
  </si>
  <si>
    <t>Use of oesophageal manometry and pH/impedance monitoring for the diagnosis and management of oesopha</t>
  </si>
  <si>
    <t>https://doi.org/10.1136/gutjnl-2018-318115</t>
  </si>
  <si>
    <t>In patients with heartburn or acid regurgitation symptoms not responding to a proton pump inhibitor twice daily, if pH/impedance monitoring is required it should be undertaken on proton pump inhibitor</t>
  </si>
  <si>
    <t>471</t>
  </si>
  <si>
    <t>We recommend all FDRs of patients with SPS on the basis of the new WHO 2019 SPS criteria, one or two should be offered an index colonoscopic screening examination at age 40 years or 10 years before th</t>
  </si>
  <si>
    <t>472</t>
  </si>
  <si>
    <t>When undertaking a dietary restriction therapy for eosinophilic oesophagitis, support from an experienced dietitian throughout both the elimination and reintroduction process is strongly recommended.</t>
  </si>
  <si>
    <t>473</t>
  </si>
  <si>
    <t>We recommend early discussion with a liver transplant centre for patients who present with AS AIH (jaundice and coagulopathy) and with AS AIH with ALF (also including hepatic encephalopathy)</t>
  </si>
  <si>
    <t>474</t>
  </si>
  <si>
    <t>We suggest that if no or one somatic mutations are identified, the proband and their FDRs should be managed as per LS.</t>
  </si>
  <si>
    <t>475</t>
  </si>
  <si>
    <t>Where a decision has been made to treat CMV, intravenous ganciclovir 5 mg/kg twice daily for 5–10 days should be given, followed by valganciclovir 900 mg daily until completion of a 2–3 week course.</t>
  </si>
  <si>
    <t>476</t>
  </si>
  <si>
    <t>It is suggested that no other treatments are currently used for maintenance of post-surgical remission in Crohn's disease.</t>
  </si>
  <si>
    <t>477</t>
  </si>
  <si>
    <t>TCAs used as gut-brain neuromodulators are an efficacious second-line treatment for FD. They can be initiated in primary or secondary care, but careful explanation as to the rationale for their use is</t>
  </si>
  <si>
    <t>478</t>
  </si>
  <si>
    <t>We suggest that in high-risk families (a cluster of 3x FDRs with CRC across &gt;1 generation) a 5 yearly colonoscopy should be performed from age 40 years until age 75 years.</t>
  </si>
  <si>
    <t>479</t>
  </si>
  <si>
    <t xml:space="preserve">In case of a perforation in eosinophilic oesophagitis, if there is limited extravasation, the patient should be managed conservatively, with multidisciplinary input from gastroenterology, surgery and </t>
  </si>
  <si>
    <t>480</t>
  </si>
  <si>
    <t>We recommend a diagnosis of SPS should be made in accordance with the new WHO 2019 criteria for SPS. Since causative gene pathogenic variants for SPS have not been identified, a definitive diagnosis o</t>
  </si>
  <si>
    <t>481</t>
  </si>
  <si>
    <t>We recommend consideration of checking endogenous adrenal function with a morning serum cortisol. Low values necessitate a short Synacthen test, and endocrinological advice</t>
  </si>
  <si>
    <t>correct level, but should be written as 'weak'</t>
  </si>
  <si>
    <t>482</t>
  </si>
  <si>
    <t>Filgotinib 200 mg is suggested for induction and maintenance of remission in patients with moderate to severe ulcerative colitis.</t>
  </si>
  <si>
    <t>483</t>
  </si>
  <si>
    <t>We suggest that patients hospitalised with ASUC should have urgent assessment of blood tests (FBC, CRP, U&amp;E and LFTs, including albumin), stool culture, Clostridioides screen, non- invasive imaging an</t>
  </si>
  <si>
    <t>484</t>
  </si>
  <si>
    <t>In patients with haemodynamic instability who take vitamin K antagonists (VKAs), we recommend administering intravenous vitamin K and four-factor prothrombin complex concentrate (PCC)</t>
  </si>
  <si>
    <t>485</t>
  </si>
  <si>
    <t>bsh_polycythaemia_vera_secondary_erythrocytosis_2019</t>
  </si>
  <si>
    <t>BSH</t>
  </si>
  <si>
    <t>A guideline for the management of specific situations in polycythaemia vera and secondary erythrocyt</t>
  </si>
  <si>
    <t>https://doi.org/10.1111/bjh.15647</t>
  </si>
  <si>
    <t>Manage significant bleeding episodes with tranexamic acid and/or platelet transfusion; cease/reduce aspirin.</t>
  </si>
  <si>
    <t>GRADE 2C</t>
  </si>
  <si>
    <t>486</t>
  </si>
  <si>
    <t>Ruxolitinib should be considered in Chuvash polycythaemia.</t>
  </si>
  <si>
    <t>487</t>
  </si>
  <si>
    <t>Be cautious with the use of anti-platelet drugs/anticoagulants in patients with extreme thrombocytosis but balance the thrombotic and bleeding history of the patient.</t>
  </si>
  <si>
    <t>488</t>
  </si>
  <si>
    <t>Consider venesection in post-haematopoetic stem cell transplantation, aim for a Hct &lt;0.50.</t>
  </si>
  <si>
    <t>489</t>
  </si>
  <si>
    <t>bsr_the_2024_british_society_for_rheumatology_guidelin</t>
  </si>
  <si>
    <t>BSR</t>
  </si>
  <si>
    <t>The 2024 British Society for Rheumatology guideline for management of systemic sclerosis</t>
  </si>
  <si>
    <t>https://doi.org/10.1093/rheumatology/keae394</t>
  </si>
  <si>
    <t>Other bDMARDs (rituximab, tocilizumab,) may be added to MMF therapy if appropriate and/or cyclophosphamide</t>
  </si>
  <si>
    <t>490</t>
  </si>
  <si>
    <t>Immunosuppression with MMF may be considered for SSc-pHI with evidence of myocardial fibrosis although robust studies are lacking. Evidence of myocardial fibrosis may support additional treatment as i</t>
  </si>
  <si>
    <t>491</t>
  </si>
  <si>
    <t>Sildenafil (or tadalafil) is recommended as first-line agent in DU healing and secondary prevention and bosentan as second-line treatment in line with NHS England policy 210302P [1911]</t>
  </si>
  <si>
    <t>492</t>
  </si>
  <si>
    <t>bsr_PMC10070073</t>
  </si>
  <si>
    <t>British Society for Rheumatology guideline on prescribing drugs in pregnancy and breastfeeding: immu</t>
  </si>
  <si>
    <t>https://doi.org/10.1093/rheumatology/keac551</t>
  </si>
  <si>
    <t>CYC is a known teratogen and gonadotoxic, and therefore should only be considered in pregnancy in cases of severe life/organ-threatening maternal disease when there is appreciable risk of maternal and</t>
  </si>
  <si>
    <t>493</t>
  </si>
  <si>
    <t>For adults living in England, the diagnosis must be made by right heart catheter and treatments are initiated through one of the designated Pulmonary Hypertension Centres (see NHS England A11/S/a) and</t>
  </si>
  <si>
    <t>494</t>
  </si>
  <si>
    <t>bsr_idiopathic_inflammatory_myopathy_2022</t>
  </si>
  <si>
    <t>BSR Idiopathic Inflammatory Myopathy</t>
  </si>
  <si>
    <t>https://doi.org/10.1093/rheumatology/keac115</t>
  </si>
  <si>
    <t>Paediatric-specific. Oral prednisolone at a dose of 1-2 mg/kg/day or intravenous methylprednisolone pulses 30 mg/kg/day, maximum 1 g daily i.v. dose is recommended (1, B, 100%).</t>
  </si>
  <si>
    <t>495</t>
  </si>
  <si>
    <t>bsr_sjogren_disease_2023</t>
  </si>
  <si>
    <t>British Society for Rheumatology guideline on management of adult and juvenile onset Sjogren disease</t>
  </si>
  <si>
    <t>https://doi.org/10.1093/rheumatology/keae152</t>
  </si>
  <si>
    <t>Suggest saliva substitutes for symptomatic relief of oral dryness.</t>
  </si>
  <si>
    <t>496</t>
  </si>
  <si>
    <t>Some drugs may reduce male fertility, but paternal drug exposure in humans has not convincingly been associated with adverse foetal development or pregnancy outcome. Although the evidence is weak, men</t>
  </si>
  <si>
    <t>497</t>
  </si>
  <si>
    <t>Adult-specific. Cardiac troponin I (not cardiac troponin T) should be used as the preferred serum marker for screening and monitoring cardiac involvement (1, B, 100%).</t>
  </si>
  <si>
    <t>498</t>
  </si>
  <si>
    <t>CYC is not recommended while breastfeeding</t>
  </si>
  <si>
    <t>499</t>
  </si>
  <si>
    <t>Oral prednisolone should be tapered according to clinical response (1, B, 100%).</t>
  </si>
  <si>
    <t>500</t>
  </si>
  <si>
    <t>Immunomodulatory drugs that are contraindicated in pregnancy should be switched to a pregnancy-compatible alternative in advance of conception to ensure maintenance of disease control on the new medic</t>
  </si>
  <si>
    <t>501</t>
  </si>
  <si>
    <t>Disease modifying anti-rheumatic drugs should be used to reduce muscle inflammation, achieve clinical remission and reduce steroid burden (1, C, 100%).</t>
  </si>
  <si>
    <t>502</t>
  </si>
  <si>
    <t>If IL-1i are used to treat severe maternal disease in the third trimester, it is currently recommended to avoid all live vaccines in the infant vaccination schedule until 6 months of age</t>
  </si>
  <si>
    <t>503</t>
  </si>
  <si>
    <t xml:space="preserve">Immunosuppression with MMF should be considered in SSc-pHI when investigation suggests myocardial inflammation. Glucocorticoids may also be added to MMF (although risk of SRC in adults should warrant </t>
  </si>
  <si>
    <t>504</t>
  </si>
  <si>
    <t>bts_british_thoracic_society_guideline_for_oxygen_use_</t>
  </si>
  <si>
    <t>BTS</t>
  </si>
  <si>
    <t>British Thoracic Society Guideline for oxygen use in adults in healthcare and emergency settings</t>
  </si>
  <si>
    <t>https://doi.org/10.1136/bmjresp-2016-000170</t>
  </si>
  <si>
    <t>H5. Women who are more than 20 weeks pregnant with evidence of hypoxaemia associated with reduced consciousness or those requiring respiratory or cardiovascular support or cardiopulmonary resuscitatio</t>
  </si>
  <si>
    <t>505</t>
  </si>
  <si>
    <t>W11. The new saturation (and the new delivery system) and flow rate should be recorded on the patient’s observation chart after 5 min of treatment at the new oxygen concentration. Each change should b</t>
  </si>
  <si>
    <t>506</t>
  </si>
  <si>
    <t>bts_british_thoracic_societyintensive_care_society_gui</t>
  </si>
  <si>
    <t>British Thoracic Society/Intensive Care Society Guideline for the ventilatory management of acute hy</t>
  </si>
  <si>
    <t>https://doi.org/10.1136/bmjresp-2016-000133</t>
  </si>
  <si>
    <t>NIV should not be used routinely for unexpected post-extubation respiratory failure (grade B).</t>
  </si>
  <si>
    <t>507</t>
  </si>
  <si>
    <t>Permissive hypercapnia (aiming for pH 7.2-7.25) may be required to avoid high airway pressures when airflow obstruction is severe (grade D).</t>
  </si>
  <si>
    <t>508</t>
  </si>
  <si>
    <t>bts_british_thoracic_society_guideline_for_bronchiecta</t>
  </si>
  <si>
    <t>British Thoracic Society guideline for bronchiectasis in adults</t>
  </si>
  <si>
    <t>https://doi.org/10.1136/bmjresp-2018-000348</t>
  </si>
  <si>
    <t>Consider azithromycin or erythromycin as an alternative (eg if a patient does not tolerate inhaled antibiotics) to an inhaled antibiotic for patients with bronchiectasis and chronic P. aeruginosa infe</t>
  </si>
  <si>
    <t>509</t>
  </si>
  <si>
    <t>U4. Oxygen therapy should be stopped once a patient is clinically stable on low-concentration oxygen, and the oxygen saturation is within the desired range on two consecutive observations (but the pre</t>
  </si>
  <si>
    <t>510</t>
  </si>
  <si>
    <t>In patients with asthma, investigation for bronchiectasis may be appropriate with severe or poorly controlled disease.</t>
  </si>
  <si>
    <t>GPS</t>
  </si>
  <si>
    <t>511</t>
  </si>
  <si>
    <t>bts_british_thoracic_society_guideline_for_the_management_of_non</t>
  </si>
  <si>
    <t>British Thoracic Society Guideline for the management of non-tuberculous mycobacterial pulmonary dis</t>
  </si>
  <si>
    <t>https://doi.org/10.1136/bmjresp-2017-000242</t>
  </si>
  <si>
    <t>For individuals with M. abscessus complex isolates that demonstrate constitutive macrolide resistance (see tables 7 and 8 ), the continuation phase antibiotic regimen should include nebulised amikacin</t>
  </si>
  <si>
    <t>512</t>
  </si>
  <si>
    <t>In patients with NMD or CWD, NIV should be considered in acute illness when vital capacity (VC) is known to be &lt;1 L and RR &gt;20 even if normocapnic (grade D).</t>
  </si>
  <si>
    <t>513</t>
  </si>
  <si>
    <t>Treat GORD symptoms in patients with bronchiectasis according to existing NICE guidance.</t>
  </si>
  <si>
    <t>514</t>
  </si>
  <si>
    <t>bts_bts_guideline_for_the_investigation_and_management_of_malign</t>
  </si>
  <si>
    <t>BTS guideline for the investigation and management of malignant pleural mesothelioma</t>
  </si>
  <si>
    <t>https://doi.org/10.1136/bmjresp-2017-000266</t>
  </si>
  <si>
    <t>Refer all patients with a chest X-ray suggestive of MPM urgently (via the 2-week wait suspected cancer pathway in England and Wales). Consider referral for further investigation in patients with persi</t>
  </si>
  <si>
    <t>515</t>
  </si>
  <si>
    <t>Teach individuals with bronchiectasis to perform airway clearance.</t>
  </si>
  <si>
    <t>516</t>
  </si>
  <si>
    <t>Rifampicin-resistant M. kansasii -PD should be treated with a three-drug regimen guided, but not dictated by, drug susceptibility test results using a daily oral regimen</t>
  </si>
  <si>
    <t>517</t>
  </si>
  <si>
    <t>A thorough occupational history should be taken to cover all occupations throughout life. It is important to elicit para exposure by exploring details of relative and/or partner occupations.</t>
  </si>
  <si>
    <t>518</t>
  </si>
  <si>
    <t xml:space="preserve">H1. Women who suffer from major trauma, sepsis or acute illness during pregnancy should receive the same oxygen therapy as any other seriously ill patients, with a target oxygen saturation of 94–98%. </t>
  </si>
  <si>
    <t>519</t>
  </si>
  <si>
    <t>Consider azithromycin or erythromycin as an additive treatment to an inhaled antibiotic for patients with bronchiectasis and chronic P. aeruginosa infection who have a high exacerbation frequency.</t>
  </si>
  <si>
    <t>520</t>
  </si>
  <si>
    <t>K1. Oxygen use in palliative care patients should be restricted to patients with SpO2 consistently &lt;90% or patients who report significant relief of breathlessness from oxygen. In non-hypoxaemic patie</t>
  </si>
  <si>
    <t>521</t>
  </si>
  <si>
    <t>W17. If a patient’s oxygen saturation is consistently lower than the prescribed target range, there should be a medical review and the oxygen therapy should be increased according to an agreed written</t>
  </si>
  <si>
    <t>522</t>
  </si>
  <si>
    <t>Do not offer preoperative or postoperative radiotherapy in MPM.</t>
  </si>
  <si>
    <t>523</t>
  </si>
  <si>
    <t>Interferon-gamma is not recommended as adjuvant therapy in individuals with NTM-PD without a defined immunodeficiency affecting intrinsic interferon-gamma signalling</t>
  </si>
  <si>
    <t>524</t>
  </si>
  <si>
    <t>As adverse event frequency of azithromycin is likely to be dose related, 250 mg 3 times a week is a pragmatic starting dose which can then be increased according to clinical response and adverse event</t>
  </si>
  <si>
    <t>525</t>
  </si>
  <si>
    <t>J2. All procedures involving conscious sedation warrant routine continuous monitoring of oxygen saturation via pulse oximetry prior and during the procedure, and in the recovery period, particularly f</t>
  </si>
  <si>
    <t>526</t>
  </si>
  <si>
    <t>E2. In critical illness, including major trauma, sepsis, shock and anaphylaxis, initiate treatment with a reservoir mask at 15 L/min and aim at a saturation range of 94–98%. This advice also applies t</t>
  </si>
  <si>
    <t>527</t>
  </si>
  <si>
    <t>A CT scan should be performed shortly before starting NTM treatment and at the end of NTM treatment to document the radiological response to treatment</t>
  </si>
  <si>
    <t>528</t>
  </si>
  <si>
    <t>canmat_bipolar_2018</t>
  </si>
  <si>
    <t>CANMAT</t>
  </si>
  <si>
    <t>CANMAT/ISBD 2018 Guidelines for the Management of Patients with Bipolar Disorder</t>
  </si>
  <si>
    <t>https://doi.org/10.1111/bdi.12609</t>
  </si>
  <si>
    <t>Intramuscular olanzapine is recommended as a first-line treatment for acute agitation in bipolar disorder.</t>
  </si>
  <si>
    <t>Level 2</t>
  </si>
  <si>
    <t>529</t>
  </si>
  <si>
    <t>pmc_11985483</t>
  </si>
  <si>
    <t>Canadian Network for Mood and Anxiety Treatments 2024 Clinical Practice Guideline for the Management</t>
  </si>
  <si>
    <t>https://doi.org/10.1177/07067437241303031</t>
  </si>
  <si>
    <t>Sertraline for acute bipolar II depression in pregnancy</t>
  </si>
  <si>
    <t>530</t>
  </si>
  <si>
    <t>Sertraline for obsessive-compulsive disorder in lactation</t>
  </si>
  <si>
    <t>Level 1</t>
  </si>
  <si>
    <t>531</t>
  </si>
  <si>
    <t>Fluoxetine monotherapy is a third-line treatment for acute bipolar II depression (for pure non-mixed depression).</t>
  </si>
  <si>
    <t>Level 3</t>
  </si>
  <si>
    <t>532</t>
  </si>
  <si>
    <t>Lithium monotherapy is recommended as first-line maintenance treatment for bipolar I disorder.</t>
  </si>
  <si>
    <t>533</t>
  </si>
  <si>
    <t>Venlafaxine for post-traumatic stress disorder in lactation</t>
  </si>
  <si>
    <t>534</t>
  </si>
  <si>
    <t>Ziprasidone monotherapy is a third-line treatment for acute bipolar II depression (for patients with depression and mixed hypomania).</t>
  </si>
  <si>
    <t>535</t>
  </si>
  <si>
    <t>SNRI/MAOI adjunctive is a third-line treatment for acute bipolar I depression.</t>
  </si>
  <si>
    <t>536</t>
  </si>
  <si>
    <t>Lithium for acute bipolar II depression in lactation</t>
  </si>
  <si>
    <t>537</t>
  </si>
  <si>
    <t>Massage therapy postpartum for treatment of perinatal anxiety symptoms</t>
  </si>
  <si>
    <t>538</t>
  </si>
  <si>
    <t>Desvenlafaxine for major depressive disorder in lactation</t>
  </si>
  <si>
    <t>539</t>
  </si>
  <si>
    <t>canmat_depression_2016</t>
  </si>
  <si>
    <t>CANMAT 2016 Clinical Guidelines for the Management of Adults with Major Depressive Disorder</t>
  </si>
  <si>
    <t>https://doi.org/10.1177/0706743716659417</t>
  </si>
  <si>
    <t>Vortioxetine is recommended as a first-line monotherapy antidepressant for MDD.</t>
  </si>
  <si>
    <t>540</t>
  </si>
  <si>
    <t>Paroxetine for obsessive-compulsive disorder in pregnancy</t>
  </si>
  <si>
    <t>Level 4</t>
  </si>
  <si>
    <t>541</t>
  </si>
  <si>
    <t>CBT for insomnia (CBT-I) for perinatal insomnia with depression and anxiety symptoms in pregnancy</t>
  </si>
  <si>
    <t>542</t>
  </si>
  <si>
    <t>Brexanolone (IV) for treatment of postpartum depression (outside of lactation)</t>
  </si>
  <si>
    <t>543</t>
  </si>
  <si>
    <t>Duloxetine for generalized anxiety disorder in pregnancy</t>
  </si>
  <si>
    <t>544</t>
  </si>
  <si>
    <t>Citalopram is recommended as a first-line monotherapy antidepressant for MDD.</t>
  </si>
  <si>
    <t>545</t>
  </si>
  <si>
    <t>Mirtazapine for generalized anxiety disorder in lactation</t>
  </si>
  <si>
    <t>546</t>
  </si>
  <si>
    <t>Chlorpromazine monotherapy is a third-line treatment for acute mania.</t>
  </si>
  <si>
    <t>547</t>
  </si>
  <si>
    <t>CBT for treatment of perinatal depression</t>
  </si>
  <si>
    <t>548</t>
  </si>
  <si>
    <t>Lamotrigine monotherapy is not recommended for treatment of acute mania.</t>
  </si>
  <si>
    <t>549</t>
  </si>
  <si>
    <t>In children and adolescents, lurasidone is recommended as first-line treatment for acute bipolar depression.</t>
  </si>
  <si>
    <t>550</t>
  </si>
  <si>
    <t>eaaci_allergen_immunotherapy_2017</t>
  </si>
  <si>
    <t>EAACI</t>
  </si>
  <si>
    <t>EAACI guidelines on allergen immunotherapy: Allergic rhinoconjunctivitis</t>
  </si>
  <si>
    <t>https://doi.org/10.1111/all.13317</t>
  </si>
  <si>
    <t>Immunotherapy is not recommended to be initiated during pregnancy.</t>
  </si>
  <si>
    <t>V</t>
  </si>
  <si>
    <t>551</t>
  </si>
  <si>
    <t>As in SCIT, local adverse reactions to SLIT may be diminished by the intake of oral antihistamines.</t>
  </si>
  <si>
    <t>552</t>
  </si>
  <si>
    <t>eaaci_food_allergy_prevention_2021</t>
  </si>
  <si>
    <t>EAACI guideline: Preventing the development of food allergy in infants and young children (2020 upda</t>
  </si>
  <si>
    <t>https://doi.org/10.1111/pai.13496</t>
  </si>
  <si>
    <t>There is no recommendation for or against using preventive oral immunotherapy to prevent food allergy in infants and young children.</t>
  </si>
  <si>
    <t>553</t>
  </si>
  <si>
    <t>eaaci_urticaria_2018</t>
  </si>
  <si>
    <t>EAACI/GA2LEN/EDF/WAO guideline for the definition, classification, diagnosis and management of urtic</t>
  </si>
  <si>
    <t>https://doi.org/10.1111/all.13397</t>
  </si>
  <si>
    <t>We recommend that the current guideline classification of chronic urticaria should be maintained.</t>
  </si>
  <si>
    <t>554</t>
  </si>
  <si>
    <t>SLIT with aqueous solutions can be recommended for seasonal AR for short-term benefit (adults).</t>
  </si>
  <si>
    <t>555</t>
  </si>
  <si>
    <t>The EAACI Task Force suggests against using bacillus Calmette-Guérin (BCG) vaccination to prevent food allergy in infants and young children.</t>
  </si>
  <si>
    <t>556</t>
  </si>
  <si>
    <t>ean_gbs_diagnosis_treatment_2023</t>
  </si>
  <si>
    <t>EAN</t>
  </si>
  <si>
    <t>EAN GBS Diagnosis Treatment</t>
  </si>
  <si>
    <t>https://doi.org/10.1111/ene.16073</t>
  </si>
  <si>
    <t>The TF weakly recommends against eculizumab for treatment of GBS.</t>
  </si>
  <si>
    <t>557</t>
  </si>
  <si>
    <t>ean_parkinson_disease_treatment_2022</t>
  </si>
  <si>
    <t>European Academy of Neurology/Movement Disorder Society - European Section guideline on the treatmen</t>
  </si>
  <si>
    <t>https://doi.org/10.1111/ene.15386</t>
  </si>
  <si>
    <t>RCTs for unilateral radiofrequency thermocoagulation of the STN for people with PD are not available. Due to potential high risks for AEs, this GL task force does not recommend this treatment.</t>
  </si>
  <si>
    <t>Expert opinion</t>
  </si>
  <si>
    <t>558</t>
  </si>
  <si>
    <t>The TF weakly recommends two exchanges in GBS patients still able to walk unaided but who cannot run (GBS-DS grade 2) within the first 2 weeks from onset of weakness.</t>
  </si>
  <si>
    <t>No LoE provided</t>
  </si>
  <si>
    <t>559</t>
  </si>
  <si>
    <t>easl_masld_2024</t>
  </si>
  <si>
    <t>EASL</t>
  </si>
  <si>
    <t>EASL-EASD-EASO Clinical Practice Guidelines on the Management of Metabolic Dysfunction-Associated St</t>
  </si>
  <si>
    <t>https://doi.org/10.1159/000539371</t>
  </si>
  <si>
    <t>Since improved mortality has not been demonstrated for any of these treatment-induced histological changes, further long-term follow-up studies are needed to demonstrate that halting disease progressi</t>
  </si>
  <si>
    <t>560</t>
  </si>
  <si>
    <t>easl_decompensated_cirrhosis_2018</t>
  </si>
  <si>
    <t>EASL Clinical Practice Guidelines for the management of patients with decompensated cirrhosis</t>
  </si>
  <si>
    <t>https://doi.org/10.1016/j.jhep.2018.03.024</t>
  </si>
  <si>
    <t>The use of contrast (microbubble) echocardiography to characterise HPS is recommended</t>
  </si>
  <si>
    <t>Level II-2</t>
  </si>
  <si>
    <t>561</t>
  </si>
  <si>
    <t>easl_autoimmune_hepatitis_2025</t>
  </si>
  <si>
    <t>EASL Clinical Practice Guidelines on the Management of Autoimmune Hepatitis</t>
  </si>
  <si>
    <t>https://doi.org/10.1016/j.jhep.2025.03.017</t>
  </si>
  <si>
    <t>MMF should be withdrawn at least 3 months before conception</t>
  </si>
  <si>
    <t>562</t>
  </si>
  <si>
    <t>NSBBs are suggested for primary prevention of VH from gastro-oesophageal varices type 2 or isolated gastric varices type 1</t>
  </si>
  <si>
    <t>Level III</t>
  </si>
  <si>
    <t>563</t>
  </si>
  <si>
    <t>There is insufficient data to advocate TIPS in HRS-AKI but it could be suggested in selected patients with HRS-NAKI</t>
  </si>
  <si>
    <t>564</t>
  </si>
  <si>
    <t>In most cases, liver biopsy is not required for clinical management of individuals with MASLD; however, liver biopsy is still required for the definite diagnosis of steatohepatitis and can help to rul</t>
  </si>
  <si>
    <t>565</t>
  </si>
  <si>
    <t>MMF may be used before initiating third-line therapies after unsuccessful intensification/optimisation of azathioprine-related therapies</t>
  </si>
  <si>
    <t>566</t>
  </si>
  <si>
    <t>In adults with MASLD, non-invasive tools can help predict the risk of overall and liver-related events and mortality</t>
  </si>
  <si>
    <t>567</t>
  </si>
  <si>
    <t>In the context of bleeding, where encephalopathy is commonly encountered, prophylactic lactulose may be used to prevent encephalopathy, but further studies are needed</t>
  </si>
  <si>
    <t>Level I</t>
  </si>
  <si>
    <t>568</t>
  </si>
  <si>
    <t>The threshold of LSM &gt;=25 kPa to rule in CSPH is only applicable to non-obese (BMI &lt;30 kg/m2) adults with MASLD; while obesity can confound LSM, current evidence is insufficient to suggest the optimal</t>
  </si>
  <si>
    <t>569</t>
  </si>
  <si>
    <t>GLP1 receptor agonists can be used in adults with Child-Pugh class A cirrhosis, according to its indication</t>
  </si>
  <si>
    <t>570</t>
  </si>
  <si>
    <t>Patients with small varices with red wale marks or Child-Pugh C should be treated with NSBBs</t>
  </si>
  <si>
    <t>571</t>
  </si>
  <si>
    <t>AIH recurrence and plasma cell-rich rejection hepatitis should be treated with predniso(lo)ne at the same doses recommended for AIH in non-LT patients</t>
  </si>
  <si>
    <t>572</t>
  </si>
  <si>
    <t>easl_hepatitis_b_2025</t>
  </si>
  <si>
    <t>EASL Hepatitis B</t>
  </si>
  <si>
    <t>https://doi.org/10.1016/j.jhep.2025.03.018</t>
  </si>
  <si>
    <t>If HBV DNA and/or HBsAg positivity occur, antiviral therapy with an NA should be started immediately (LoE 2, strong recommendation).</t>
  </si>
  <si>
    <t>573</t>
  </si>
  <si>
    <t>easl_liver_transplantation_2024</t>
  </si>
  <si>
    <t>EASL Clinical Practice Guidelines on Liver Transplantation</t>
  </si>
  <si>
    <t>https://doi.org/10.1016/j.jhep.2024.07.032</t>
  </si>
  <si>
    <t>The administration of basiliximab induction with delayed introduction of tacrolimus is strongly recommended in patients at risk of developing post-transplant renal dysfunction</t>
  </si>
  <si>
    <t>574</t>
  </si>
  <si>
    <t>Direct evaluation (discussion with a LT centre) for LT is recommended in patients with acute severe AIH with ALF or ACLF, as data on the role of corticosteroids in these patients is very limited and o</t>
  </si>
  <si>
    <t>575</t>
  </si>
  <si>
    <t>Prophylactic NA treatment to prevent reactivation during anti-HCV direct-acting antiviral treatment can be given in patients not meeting the indication for treatment of chronic HBV monoinfection (e.g.</t>
  </si>
  <si>
    <t>576</t>
  </si>
  <si>
    <t>The use of HCV RNA-positive grafts in HCV-positive or HCV-negative recipients should be considered provided informed consent, appropriate organ quality and a rapid initiation of effective antiviral th</t>
  </si>
  <si>
    <t>577</t>
  </si>
  <si>
    <t>Otherwise, the patient should undergo a second paracentesis. If the culture results come back positive again, regardless of the neutrophil count, the patient should be treated</t>
  </si>
  <si>
    <t>578</t>
  </si>
  <si>
    <t>easl_nutrition_cld_2019</t>
  </si>
  <si>
    <t>EASL Clinical Practice Guidelines on nutrition in chronic liver disease</t>
  </si>
  <si>
    <t>https://doi.org/10.1016/j.jhep.2018.06.024</t>
  </si>
  <si>
    <t>Include supplements of calcium (1,000–1,500 mg/d) and 25-hydroxy-vitamin D (400–800 IU/d or 260 µg every 2 weeks), in patients with chronic liver disease and a T-score below −1.5.</t>
  </si>
  <si>
    <t>Grade II-3, A1</t>
  </si>
  <si>
    <t>579</t>
  </si>
  <si>
    <t>In patients undergoing LVP of greater than 5 L of ascites, plasma volume expansion should be performed by infusing albumin (8 g/L of ascites removed), as it is more effective than other plasma expande</t>
  </si>
  <si>
    <t>580</t>
  </si>
  <si>
    <t>Patients with chronic hepatitis delta should not receive a liver transplant from an HBsAg-positive donor (LoE 4, strong recommendation).</t>
  </si>
  <si>
    <t>581</t>
  </si>
  <si>
    <t>Stopping rules should be considered based on the quantitative determinations of HBV DNA and HBsAg at treatment week 12 and 24 (LoE 2, strong recommendation).</t>
  </si>
  <si>
    <t>582</t>
  </si>
  <si>
    <t>Implementation of dietary modification and supervised physical exercise should be the first line management approach with the objective of reducing BMI &lt;40 kg/m2 and ideally &lt;35 kg/m2</t>
  </si>
  <si>
    <t>583</t>
  </si>
  <si>
    <t>The diagnosis of refractory ascites relies on the assessment of the response of ascites to diuretic therapy and salt restriction. Such an evaluation should be done in stable patients without associate</t>
  </si>
  <si>
    <t>584</t>
  </si>
  <si>
    <t>Ascitic total protein concentration should be performed to identify patients at higher risk of developing SBP</t>
  </si>
  <si>
    <t>585</t>
  </si>
  <si>
    <t>Patients with Wilson’s disease and isolated neuropsychiatric manifestations should ideally be referred for evaluation by a multidisciplinary team at a LT centre. The decision to proceed with LT screen</t>
  </si>
  <si>
    <t>586</t>
  </si>
  <si>
    <t>Tacrolimus trough levels should be kept at 6-10 ng/ml during the first month followed by 4-8 ng/ml thereafter</t>
  </si>
  <si>
    <t>587</t>
  </si>
  <si>
    <t>Avoid PEG insertion in cirrhotic patients due to risk of bleeding.</t>
  </si>
  <si>
    <t>588</t>
  </si>
  <si>
    <t>Patients with severe autoimmune hepatitis not responding to corticosteroids (no improvement or worsening in liver biochemistry and liver synthetic function parameters or development or worsening of he</t>
  </si>
  <si>
    <t>589</t>
  </si>
  <si>
    <t>Patients with medium-large varices should be treated with either NSBBs or EBL</t>
  </si>
  <si>
    <t>590</t>
  </si>
  <si>
    <t>Prolonged bed rest cannot be recommended because there is insufficient evidence that it is beneficial in the treatment of ascites</t>
  </si>
  <si>
    <t>591</t>
  </si>
  <si>
    <t>Healthcare providers should look for MASLD with liver fibrosis either in individuals with (A) type 2 diabetes or (B) abdominal obesity and &gt;=1 additional metabolic risk factor(s) (Table 3) or (C) abno</t>
  </si>
  <si>
    <t>592</t>
  </si>
  <si>
    <t>Individuals with SLD, particularly those with moderate or high alcohol intake, should be discouraged from consuming alcohol</t>
  </si>
  <si>
    <t>593</t>
  </si>
  <si>
    <t xml:space="preserve">Patients with a history of a recently treated non-hepatic cancer, who have undergone a curative therapy and are tumour free/in remission, should undergo a multidisciplinary assessment for suitability </t>
  </si>
  <si>
    <t>594</t>
  </si>
  <si>
    <t>Patients with HBV infection who undergo liver transplantation should receive prophylaxis to prevent HBV recurrence. The standard recommended prophylactic therapy is the combination of a NA (ETV, TDF o</t>
  </si>
  <si>
    <t>595</t>
  </si>
  <si>
    <t>east_guidelines_for_enhanced_recovery_after_trauma</t>
  </si>
  <si>
    <t>EAST</t>
  </si>
  <si>
    <t>Guidelines for Enhanced Recovery After Trauma and Intensive Care (ERATIC): ERAS and IATSIC Recommend</t>
  </si>
  <si>
    <t>https://doi.org/10.1002/wjs.70002</t>
  </si>
  <si>
    <t>There is high quality evidence and current supporting guidelines that prefer alcohol-based chlorhexidine solution. There is overall high-quality evidence that chlorhexidine in alcohol is the skin prep</t>
  </si>
  <si>
    <t>596</t>
  </si>
  <si>
    <t>In trauma patients, we recommend against the routine use of IVC filters for the primary prevention of VTE.</t>
  </si>
  <si>
    <t>597</t>
  </si>
  <si>
    <t>There is moderate quality evidence to support rib-fixation for flail chest or &gt; 3 contiguous fractures, those with TBI and in the older patient, to reduce pneumonia, tracheostomy, ICU, and total hospi</t>
  </si>
  <si>
    <t>598</t>
  </si>
  <si>
    <t>A weaning protocol for opioids is recommended.</t>
  </si>
  <si>
    <t>599</t>
  </si>
  <si>
    <t>eha_chronic_myelomonocytic_leukemia_cmml_2018</t>
  </si>
  <si>
    <t>EHA</t>
  </si>
  <si>
    <t>Diagnosis and Treatment of Chronic Myelomonocytic Leukemias in Adults: Recommendations From the Euro</t>
  </si>
  <si>
    <t>https://doi.org/10.1097/HS9.0000000000000150</t>
  </si>
  <si>
    <t>HY is recommended in proliferative CMML, in the absence of major cytopenias or excess of marrow blasts. No single level of WBC count or spleen size can be recommended as being the optimal level to int</t>
  </si>
  <si>
    <t>600</t>
  </si>
  <si>
    <t>eha_antithrombotic_therapy_thrombocytopenic_cancer_patients_2022</t>
  </si>
  <si>
    <t>EHA Guidelines on Management of Antithrombotic Treatments in Thrombocytopenic Patients With Cancer</t>
  </si>
  <si>
    <t>https://doi.org/10.1097/HS9.0000000000000750</t>
  </si>
  <si>
    <t>Clinically relevant DDIs should be always considered, especially for clopidogrel, ticagrelor, warfarin, and dabigatran.</t>
  </si>
  <si>
    <t>Level 1, grade D</t>
  </si>
  <si>
    <t>601</t>
  </si>
  <si>
    <t>Low-dose aspirin in primary prevention, Grade &gt;=2: we recommend holding SAPT and resuming as soon as platelet count is &gt;=75 x10^9/L.</t>
  </si>
  <si>
    <t>Level 5, grade D</t>
  </si>
  <si>
    <t>602</t>
  </si>
  <si>
    <t>Grade 3-4 TP: TPO-RA may be used in patients with anticipated long duration of TP, providing that the patient does not have high-thrombotic risk, acute leukemia, MDS, or extensive bone marrow infiltra</t>
  </si>
  <si>
    <t>Level 5, grade C</t>
  </si>
  <si>
    <t>603</t>
  </si>
  <si>
    <t>For patients who have CVC removed after &lt;3 months of anticoagulation, full-dose anticoagulation is recommended as soon as platelet count reaches &gt;=50 x10^9/L.</t>
  </si>
  <si>
    <t>604</t>
  </si>
  <si>
    <t>epa_negative_symptoms_schizophrenia_2021</t>
  </si>
  <si>
    <t>EPA</t>
  </si>
  <si>
    <t>EPA guidance on treatment of negative symptoms in schizophrenia</t>
  </si>
  <si>
    <t>https://doi.org/10.1192/j.eurpsy.2021.13</t>
  </si>
  <si>
    <t>The access to care for patients with negative symptoms should have a low-threshold and should be facilitated by assertive community interventions.</t>
  </si>
  <si>
    <t>605</t>
  </si>
  <si>
    <t>If the trial with an add-on antidepressant is not associated with an improvement of negative symptoms and/or depression, the antidepressant should be discontinued to avoid polypharmacy.</t>
  </si>
  <si>
    <t>606</t>
  </si>
  <si>
    <t>If negative symptoms do not improve after optimization of antipsychotic treatment, a trial with an add-on antidepressant should be considered for patients with negative symptoms after careful evaluati</t>
  </si>
  <si>
    <t>607</t>
  </si>
  <si>
    <t>eraerbp_chronic_kidney_disease_older_patients_2017</t>
  </si>
  <si>
    <t>ERA (ERBP)</t>
  </si>
  <si>
    <t>Nephrology</t>
  </si>
  <si>
    <t xml:space="preserve">Clinical Practice Guideline on management of older patients with chronic kidney disease stage 3b or </t>
  </si>
  <si>
    <t>https://doi.org/10.1093/ndt/gfw411</t>
  </si>
  <si>
    <t>We recommend that exercise has a positive impact on the functional status of older patients with CKD stage 3b or higher</t>
  </si>
  <si>
    <t>1C</t>
  </si>
  <si>
    <t>608</t>
  </si>
  <si>
    <t>We suggest the REIN score be used to predict the short term/6-month risk for mortality in older patients with CKD stage 5 should dialysis be embarked on</t>
  </si>
  <si>
    <t>2B</t>
  </si>
  <si>
    <t>609</t>
  </si>
  <si>
    <t>We suggest use of CKD-EPICr-Cys may be an acceptable alternative</t>
  </si>
  <si>
    <t>2C</t>
  </si>
  <si>
    <t>610</t>
  </si>
  <si>
    <t>erassociet_perioperative_care_elective_colorectal_surgery_2025</t>
  </si>
  <si>
    <t>ERAS Society</t>
  </si>
  <si>
    <t>Guidelines for perioperative care in elective colorectal surgery: Enhanced Recovery After Surgery (E</t>
  </si>
  <si>
    <t>https://doi.org/10.1016/j.surg.2025.109397</t>
  </si>
  <si>
    <t>Patients with high rates of alcohol consumption should stop drinking 4 weeks before surgery.</t>
  </si>
  <si>
    <t>611</t>
  </si>
  <si>
    <t>erassociet_emergency_laparotomy_perioperative_care_intra_2023</t>
  </si>
  <si>
    <t>Consensus Guidelines for Perioperative Care for Emergency Laparotomy Enhanced Recovery After Surgery</t>
  </si>
  <si>
    <t>https://doi.org/10.1007/s00268-023-07020-6</t>
  </si>
  <si>
    <t xml:space="preserve">Perioperative broad spectrum intravenous antibiotics should be administered within 60 min before skin incision unless the patient is already receiving appropriate antibiotic therapy, some agents such </t>
  </si>
  <si>
    <t>612</t>
  </si>
  <si>
    <t>Prophylactic NGT is not recommended after colorectal surgery.</t>
  </si>
  <si>
    <t>613</t>
  </si>
  <si>
    <t>Mechanical bowel preparation should not be used to prevent ileus.</t>
  </si>
  <si>
    <t>614</t>
  </si>
  <si>
    <t>Use quantitative neuromuscular monitoring and complete reversal of neuromuscular block (train-of-four ratio 0.9).</t>
  </si>
  <si>
    <t>615</t>
  </si>
  <si>
    <t>Colorectal patients should receive multimodal thromboembolism prevention using both mechanical and pharmacological modalities.</t>
  </si>
  <si>
    <t>616</t>
  </si>
  <si>
    <t>erassociet_perioperative_eras_care_elective_abdominal_2022</t>
  </si>
  <si>
    <t xml:space="preserve">Guidelines for Perioperative Care in Elective Abdominal and Pelvic Surgery at Primary and Secondary </t>
  </si>
  <si>
    <t>https://doi.org/10.1007/s00268-022-06587-w</t>
  </si>
  <si>
    <t>The combination of paracetamol and NSAIDS are recommended as baseline multimodal analgesics in the postoperative period unless specific contraindications exist</t>
  </si>
  <si>
    <t>moderate</t>
  </si>
  <si>
    <t>617</t>
  </si>
  <si>
    <t>Urinary catheters may be removed after 2 days for patients with epidural catheters (open surgery).</t>
  </si>
  <si>
    <t>Low to moderate</t>
  </si>
  <si>
    <t>618</t>
  </si>
  <si>
    <t>Methylnaltrexone should not be used to prevent ileus.</t>
  </si>
  <si>
    <t>619</t>
  </si>
  <si>
    <t>ers_pneumothorax_2024</t>
  </si>
  <si>
    <t>ERS</t>
  </si>
  <si>
    <t>Joint ERS/EACTS/ESTS clinical practice guidelines on adults with spontaneous pneumothorax | European</t>
  </si>
  <si>
    <t>https://doi.org/10.1183/13993003.00797-2023</t>
  </si>
  <si>
    <t>We suggest ambulatory management for the initial treatment of PSP, in centres with appropriate expertise and pathways to manage patients as outpatients.</t>
  </si>
  <si>
    <t>620</t>
  </si>
  <si>
    <t>ers_ctd_ild_2025</t>
  </si>
  <si>
    <t>ERS/EULAR clinical practice guidelines for connective tissue disease-associated interstitial lung di</t>
  </si>
  <si>
    <t>https://doi.org/10.1016/j.ard.2025.08.021</t>
  </si>
  <si>
    <t>We suggest using the 6MWT to assess severity of ILD in IIM-ILD patients without significant muscle involvement of the lower limbs (conditional recommendation, very low certainty of evidence stemming f</t>
  </si>
  <si>
    <t>621</t>
  </si>
  <si>
    <t>We suggest using the inclusion criteria of RCTs to guide treatment decisions for CTD-ILD (conditional recommendation, very low certainty of evidence).</t>
  </si>
  <si>
    <t>622</t>
  </si>
  <si>
    <t>We suggest using MMF in patients with SSc-ILD (conditional recommendation, very low certainty of evidence).</t>
  </si>
  <si>
    <t>623</t>
  </si>
  <si>
    <t>We recommend using tocilizumab in SSc-ILD patients with early diffuse cutaneous SSc and increased inflammatory markers or recent skin fibrosis progression (strong recommendation, moderate certainty of</t>
  </si>
  <si>
    <t>624</t>
  </si>
  <si>
    <t>ers_2019_ers_cough_guideline_consensus_and_controversy</t>
  </si>
  <si>
    <t>2019 ERS cough guideline: consensus and controversy</t>
  </si>
  <si>
    <t>https://doi.org/10.21037/jtd-2020-065</t>
  </si>
  <si>
    <t>We suggest a trial of cough control therapy in adult patients with chronic cough.</t>
  </si>
  <si>
    <t>625</t>
  </si>
  <si>
    <t>esc_cardio_oncology_2022</t>
  </si>
  <si>
    <t>ESC</t>
  </si>
  <si>
    <t>2022 ESC Guidelines on cardio-oncology</t>
  </si>
  <si>
    <t>https://doi.org/10.1093/eurheartj/ehac244</t>
  </si>
  <si>
    <t>Valve replacement surgery is recommended in symptomatic patients with severe carcinoid tricuspid or pulmonary VHD and an expected survival &gt;=12 months.</t>
  </si>
  <si>
    <t>626</t>
  </si>
  <si>
    <t>esc_diabetes_2023</t>
  </si>
  <si>
    <t>2023 ESC Guidelines for the Management of Cardiovascular Disease in Patients With Diabetes</t>
  </si>
  <si>
    <t>https://doi.org/10.1093/eurheartj/ehad192</t>
  </si>
  <si>
    <t>Principles of motivational interviewing should be considered to induce behavioural changes.372–</t>
  </si>
  <si>
    <t>627</t>
  </si>
  <si>
    <t>esc_hypertension_2024</t>
  </si>
  <si>
    <t>Elevated Blood Pressure and Hypertension</t>
  </si>
  <si>
    <t>https://doi.org/10.1093/eurheartj/ehae178</t>
  </si>
  <si>
    <t>If BP is not controlled with a three-drug combination and in whom spironolactone is not effective or tolerated, treatment with eplerenone instead of spironolactone, or the addition of a beta-blocker i</t>
  </si>
  <si>
    <t>628</t>
  </si>
  <si>
    <t>An informed discussion about CVD risk and treatment benefits tailored to the needs of a patient is recommended as part of hypertension management.</t>
  </si>
  <si>
    <t>629</t>
  </si>
  <si>
    <t>esc_ventricular_arrhythmias_scd_2022</t>
  </si>
  <si>
    <t>2022 ESC Guidelines for the management of patients with ventricular arrhythmias and the prevention o</t>
  </si>
  <si>
    <t>https://doi.org/10.1093/eurheartj/ehac262</t>
  </si>
  <si>
    <t>It is recommended that BrS is diagnosed in patients with no other heart disease who have survived a CA due to VF or PVT and exhibit a type Brugada ECG induced by sodium channel blocker challenge or du</t>
  </si>
  <si>
    <t>630</t>
  </si>
  <si>
    <t>esc_achd_2020</t>
  </si>
  <si>
    <t>2020 ESC Guidelines for the Management of Adult Congenital Heart Disease</t>
  </si>
  <si>
    <t>https://doi.org/10.1093/eurheartj/ehaa554</t>
  </si>
  <si>
    <t>In asymptomatic patients with baffle stenosis, stenting may be considered when technically feasible.</t>
  </si>
  <si>
    <t>631</t>
  </si>
  <si>
    <t>ICD implantation may be considered in selected asymptomatic BrS patients with inducible VF during PES using up to extra stimuli.</t>
  </si>
  <si>
    <t>632</t>
  </si>
  <si>
    <t>The WCD should be considered for adult patients with a secondary prevention ICD indication, who are temporarily not candidates for ICD implantation.</t>
  </si>
  <si>
    <t>633</t>
  </si>
  <si>
    <t>esc_ccs_2024</t>
  </si>
  <si>
    <t>2024 ESC Guidelines for the Management of Chronic Coronary Syndromes</t>
  </si>
  <si>
    <t>https://doi.org/10.1093/eurheartj/ehae177</t>
  </si>
  <si>
    <t>For patients who are statin intolerant and do not achieve their goal on ezetimibe, combination with bempedoic acid is recommended.680</t>
  </si>
  <si>
    <t>634</t>
  </si>
  <si>
    <t>In patients with cardiac sarcoidosis, LVEF 35–50% and inducible SMVT at PES, ICD implantation should be considered.</t>
  </si>
  <si>
    <t>635</t>
  </si>
  <si>
    <t xml:space="preserve">Opportunistic screening of healthy individuals for cardiovascular risk factors and to estimate the risk of future cardiovascular events using scoring systems, e.g. SCORE2 and SCORE-OP, is recommended </t>
  </si>
  <si>
    <t>636</t>
  </si>
  <si>
    <t>Since SCORE2 has not been validated for individuals &lt;40 years, screening for HMOD may be considered in such young individuals with elevated BP without other increased CVD risk conditions to identify a</t>
  </si>
  <si>
    <t>637</t>
  </si>
  <si>
    <t>esc_non_cardiac_surgery_2022</t>
  </si>
  <si>
    <t>2022 ESC Guidelines on cardiovascular assessment and management of patients undergoing non-cardiac s</t>
  </si>
  <si>
    <t>https://doi.org/10.1093/eurheartj/ehac270</t>
  </si>
  <si>
    <t>In patients already on statins, it is recommended to continue statins during the peri-operative period.</t>
  </si>
  <si>
    <t>638</t>
  </si>
  <si>
    <t>Therapeutic doses of LMWH are recommended in patients with MM with previous VTE.</t>
  </si>
  <si>
    <t>639</t>
  </si>
  <si>
    <t>When ICA is indicated, IVUS should be considered to evaluate the severity of intermediate stenoses of left main stemc prior to revascularization.336,337</t>
  </si>
  <si>
    <t>640</t>
  </si>
  <si>
    <t>In patients with Chagas’ cardiomyopathy and recurrent, symptomatic SMVT or ICD shocks for SMVT in whom AADs are ineffective, contraindicated, or not tolerated, catheter ablation in specialized centres</t>
  </si>
  <si>
    <t>641</t>
  </si>
  <si>
    <t>esc_heart_failure_2021</t>
  </si>
  <si>
    <t>2021 ESC Guidelines for the diagnosis and treatment of acute and chronic heart failure</t>
  </si>
  <si>
    <t>https://doi.org/10.1093/eurheartj/ehab368</t>
  </si>
  <si>
    <t>Sacubitril/valsartan is recommended as a replacement for an ACE-I in patients with HFrEF to reduce the risk of HF hospitalization and death.</t>
  </si>
  <si>
    <t>642</t>
  </si>
  <si>
    <t>It is recommended that the ERS is diagnosed in a patient resuscitated from unexplained VF/PVT in the presence of ERP.</t>
  </si>
  <si>
    <t>643</t>
  </si>
  <si>
    <t>Asymptomatic patients with severe aortic valve stenosis Intervention is indicated in asymptomatic patients with severe AS and an abnormal exer- cise test showing symptoms on exercise clearly related t</t>
  </si>
  <si>
    <t>644</t>
  </si>
  <si>
    <t>In patients with VSD-associated prolapse of an aortic valve cusp causing progressive AR, sur- gery should be considered.</t>
  </si>
  <si>
    <t>645</t>
  </si>
  <si>
    <t>A discussion with the patient about the relative benefits and harms, cancer prognosis, drug cost, and duration of treatment is recommended prior to prophylactic anticoagulation for the primary prevent</t>
  </si>
  <si>
    <t>646</t>
  </si>
  <si>
    <t>BP measurement is recommended for patients treated with BTK inhibitors at every clinical visit.</t>
  </si>
  <si>
    <t>647</t>
  </si>
  <si>
    <t>Ticagrelor or prasugrel may be considered in patients with cancer with low bleeding risk and excessive thrombotic risk who are treated with PCI for ACS.</t>
  </si>
  <si>
    <t>648</t>
  </si>
  <si>
    <t>esc_nsteacs_2020</t>
  </si>
  <si>
    <t>2020 ESC Guidelines for the Management of Acute Coronary Syndromes in Patients Presenting Without Pe</t>
  </si>
  <si>
    <t>https://doi.org/10.1093/eurheartj/ehaa575</t>
  </si>
  <si>
    <t>Beyond its diagnostic role, it is recommended to measure hs-cTn serially for the estimation of prognosis.12,13,119,120</t>
  </si>
  <si>
    <t>649</t>
  </si>
  <si>
    <t>esc_pacing_2021</t>
  </si>
  <si>
    <t>2021 ESC Guidelines on Cardiac Pacing and Cardiac Resynchronization Therapy</t>
  </si>
  <si>
    <t>https://doi.org/10.1093/eurheartj/ehab364</t>
  </si>
  <si>
    <t>Patients requiring pacing after biological tricuspid valve replacement/tricuspid valve ring repair. When ventricular pacing is indicated, transvenous implantation of a coronary sinus lead or minimally</t>
  </si>
  <si>
    <t>650</t>
  </si>
  <si>
    <t>Pacing is not recommended in patients with unexplained syncope without evidence of SND or conduction disturbance.</t>
  </si>
  <si>
    <t>651</t>
  </si>
  <si>
    <t>esc_dyslipidaemias_2019</t>
  </si>
  <si>
    <t>2019 ESC/EAS Guidelines for the management of dyslipidaemias: lipid modification to reduce cardiovas</t>
  </si>
  <si>
    <t>https://doi.org/10.1093/eurheartj/ehz455</t>
  </si>
  <si>
    <t>It is recommended that a diagnosis of FH is considered in patients with CHD aged &lt;55 years for men and &lt;60 years for women, in people with relatives with premature fatal or non-fatal CVD, in people wi</t>
  </si>
  <si>
    <t>652</t>
  </si>
  <si>
    <t>High-risk ethnicity (e.g. South Asian), family history of premature onset atherosclerotic CVD, socio-economic deprivation, auto-immune inflammatory disorders, HIV, and severe mental illness are risk m</t>
  </si>
  <si>
    <t>653</t>
  </si>
  <si>
    <t>A high-intensity statin up to the highest tolerated dose to reach the LDL-C goals is recommended for all patients with CCS.670,671</t>
  </si>
  <si>
    <t>654</t>
  </si>
  <si>
    <t>In patients with poor functional capacity or significant risk factors or symptoms (such as moderate-to-severe angina pectoris, decompensated HF, valvular disease, and significant arrhythmia), referral</t>
  </si>
  <si>
    <t>655</t>
  </si>
  <si>
    <t>In patients with T2DM, a secondary goal of a non-HDL-C target of &lt;2.2 mmol/L (&lt;85 mg/dL) in very high CV risk patients and &lt;2.6 mmol/L (&lt;100 mg/dL) in high CV risk patients is recommended.283–</t>
  </si>
  <si>
    <t>656</t>
  </si>
  <si>
    <t>esc_ph_2022</t>
  </si>
  <si>
    <t>2022 ESC/ERS Guidelines for the Diagnosis and Treatment of Pulmonary Hypertension</t>
  </si>
  <si>
    <t>https://doi.org/10.1093/eurheartj/ehac237</t>
  </si>
  <si>
    <t>Mechanical circulatory support may be an option for selected patients as a bridge to transplantation or recovery, and interhospital transfer should be considered if such resources are unavailable on s</t>
  </si>
  <si>
    <t>657</t>
  </si>
  <si>
    <t>esc_endocarditis_2023</t>
  </si>
  <si>
    <t>2023 ESC Guidelines for the Management of Endocarditis</t>
  </si>
  <si>
    <t>https://doi.org/10.1093/eurheartj/ehad193</t>
  </si>
  <si>
    <t>WBC SPECT/CT should be considered in patients with high clinical suspicion of PVE when echocardiography is negative or inconclusive and when PET/CT is unavailable.</t>
  </si>
  <si>
    <t>658</t>
  </si>
  <si>
    <t>In patients with persistent or new-onset dyspnoea or exercise limitation following PE, further diagnostic evaluation to assess for CTEPH/CTEPD is recommended.</t>
  </si>
  <si>
    <t>659</t>
  </si>
  <si>
    <t>Chest CT should be considered in all patients with PH.</t>
  </si>
  <si>
    <t>660</t>
  </si>
  <si>
    <t>esc_af_2024</t>
  </si>
  <si>
    <t>2024 ESC Guidelines for the Management of Atrial Fibrillation</t>
  </si>
  <si>
    <t>https://doi.org/10.1093/eurheartj/ehae176</t>
  </si>
  <si>
    <t>Oral anticoagulation is recommended in all patients with AF and hypertrophic cardiomyopathy or cardiac amyloidosis, regardless of CHA2DS2-VA score, to prevent ischaemic stroke and thromboembolism.</t>
  </si>
  <si>
    <t>661</t>
  </si>
  <si>
    <t>Bariatric surgery may be considered in conjunction with lifestyle changes and medical management in individuals with AF and body mass index ≥40 kg/m2 where a rhythm control strategy is planned, to red</t>
  </si>
  <si>
    <t>662</t>
  </si>
  <si>
    <t>Stroke prevention is recommended to AF patients with &gt;_1 non-sex CHA2DS2-VASc stroke risk factors (score of &gt;_1 in males or &gt;_2 in females).For patients with &gt;_2 non-sex stroke risk factors, OAC is re</t>
  </si>
  <si>
    <t>663</t>
  </si>
  <si>
    <t>Renal artery angioplasty is not recommended in patients without confirmed haemodynamically significant renal artery stenosis.</t>
  </si>
  <si>
    <t>664</t>
  </si>
  <si>
    <t>Catheter ablation of idiopathic VT/PVCs is not recommended in children , years of age or , kg weight except when previous medical therapy fails or when VT is not haemodynamically tolerated.</t>
  </si>
  <si>
    <t>665</t>
  </si>
  <si>
    <t>Temporary interruption of anthracycline chemotherapy is recommended in patients who develop symptomatic moderate CTRCD and a multidisciplinary approach regarding the decision to restart is recommended</t>
  </si>
  <si>
    <t>666</t>
  </si>
  <si>
    <t>In patients with SSc, where breathlessness remains unexplained following non-invasive assessment, RHC is recommended to exclude PAH.</t>
  </si>
  <si>
    <t>667</t>
  </si>
  <si>
    <t>Patients being considered for long-term MCS must have good compliance, appropriate capacity for device handling and psychosocial support.</t>
  </si>
  <si>
    <t>668</t>
  </si>
  <si>
    <t>A P2Y12 receptor inhibitor is recommended in addition to aspirin, and maintained over 12 months unless there are contraindications or an excessive risk of bleeding.170,171,182 Options are:</t>
  </si>
  <si>
    <t>669</t>
  </si>
  <si>
    <t>In order to minimize the risk of post-operative organ dysfunction, it is recommended to avoid an intra-operative mean arterial pressure decrease of &gt;20% from baseline values or &lt;60-70 mmHg for &gt;=10 mi</t>
  </si>
  <si>
    <t>670</t>
  </si>
  <si>
    <t>cTn and NP monitoring before every cycle during anthracycline chemotherapy in moderate-risk patients should be considered.</t>
  </si>
  <si>
    <t>671</t>
  </si>
  <si>
    <t xml:space="preserve">Systemic antibiotic prophylaxis may be considered for high-risk patients undergoing an invasive diagnostic or therapeutic procedure of the respiratory, gastrointestinal, genitourinary tract, skin, or </t>
  </si>
  <si>
    <t>672</t>
  </si>
  <si>
    <t>A pre-operative assessment for concomitant cardiac conditions is recommended in patients with diabetes with suspected or known CAD, and those with autonomic neuropathy, retinopathy, or renal disease a</t>
  </si>
  <si>
    <t>673</t>
  </si>
  <si>
    <t>In patients allergic to beta-lactams and with IE due to oral streptococci and S. gallolyticus, vancomycin for 4 weeks in NVE or for 6 weeks in PVE is recommended.</t>
  </si>
  <si>
    <t>674</t>
  </si>
  <si>
    <t>TG analysis is recommended as part of the routine lipid analysis process.</t>
  </si>
  <si>
    <t>675</t>
  </si>
  <si>
    <t>Peri-operative continuation of beta-blockers is recommended in patients currently receiving this medication.</t>
  </si>
  <si>
    <t>676</t>
  </si>
  <si>
    <t>The use of one or more of the following test results is recommended to identify individuals at high risk of adverse events:405 • exercise ECG: ⚬ Duke Treadmill Score &lt; −10;191 • stress SPECT or PET pe</t>
  </si>
  <si>
    <t>677</t>
  </si>
  <si>
    <t>It is recommended to program the slowest tachycardia therapy zone limit ≥188 b.p.m. in primary prevention ICD patients.</t>
  </si>
  <si>
    <t>678</t>
  </si>
  <si>
    <t>esc_cardiomyopathy_2023</t>
  </si>
  <si>
    <t>2023 ESC Guidelines for the Management of Cardiomyopathies</t>
  </si>
  <si>
    <t>https://doi.org/10.1093/eurheartj/ehad194</t>
  </si>
  <si>
    <t>In all patients with HCM, at initial evaluation, transthoracic 2D and Doppler echocardiography are recommended, at rest and during Valsalva manoeuvre in the sitting and semi-supine positions— and then</t>
  </si>
  <si>
    <t>679</t>
  </si>
  <si>
    <t>In patients with cancer developing new VHD during cancer therapy, management according to the 2021 ESC/EACTS Guidelines for the management of VHD is recommended, taking into consideration cancer progn</t>
  </si>
  <si>
    <t>680</t>
  </si>
  <si>
    <t>Pre-operative ICA may be considered in stable CCS patients undergoing elective surgical CEA.</t>
  </si>
  <si>
    <t>681</t>
  </si>
  <si>
    <t>Treatment with statins is recommended for primary prevention, according to the level of risk, in older people aged ≤75 years.</t>
  </si>
  <si>
    <t>682</t>
  </si>
  <si>
    <t>Brain and whole-body imaging (CT, [18F]FDG-PET/ CT, and/or MRI) are recommended in symptomaticc patients with NVE and PVE to detect peripheral lesions or add minor diagnostic criteria.</t>
  </si>
  <si>
    <t>683</t>
  </si>
  <si>
    <t>Following SADS, post-mortem genetic testing targeted to primary electrical disease is recommended when the decedent is young (,) and/or the circumstances and/or family history support a primary electr</t>
  </si>
  <si>
    <t>684</t>
  </si>
  <si>
    <t>Cardiopulmonary exercise testing is recommended as a part of the evaluation for heart transplantation and/or MCS.</t>
  </si>
  <si>
    <t>685</t>
  </si>
  <si>
    <t>Familial evaluation of SADS decedents is recommended to include genetic testing when post-mortem genetic testing in a SADS decedent detects a pathogenic mutation.</t>
  </si>
  <si>
    <t>686</t>
  </si>
  <si>
    <t>Home BP monitoring should be considered for patients treated with brigatinib, crizotinib, or lorlatinib.</t>
  </si>
  <si>
    <t>687</t>
  </si>
  <si>
    <t>An MRA is recommended for patients with HFrEF to reduce the risk of HF hospitalization and death.</t>
  </si>
  <si>
    <t>688</t>
  </si>
  <si>
    <t>Statins should be considered for primary prevention in adult patients with cancer at high and very high CV toxicity risk.</t>
  </si>
  <si>
    <t>689</t>
  </si>
  <si>
    <t>ICD implantation is recommended in patients with LQTS who are symptomaticd while receiving beta-blockers and genotype-specific therapies.</t>
  </si>
  <si>
    <t>690</t>
  </si>
  <si>
    <t>Screening for, and treatment of, aetiologies, and CV and non-CV comorbidities is recommended in patients with HFpEF (see relevant sections of this document).</t>
  </si>
  <si>
    <t>691</t>
  </si>
  <si>
    <t>Early cardioversion is not recommended without appropriate anticoagulation or transoesophageal echocardiography if AF duration is longer than 24 h, or there is scope to wait for spontaneous cardiovers</t>
  </si>
  <si>
    <t>692</t>
  </si>
  <si>
    <t>Beta-blockers Beta-blockers are recommended in patients with sys- tolic LV dysfunction or heart failure with reduced LVEF (&lt;40%).539541</t>
  </si>
  <si>
    <t>693</t>
  </si>
  <si>
    <t>Basal insulins (glargine and degludec) have a neutral effect on the risk of HF hospitalization and should be considered for glucose-lowering treatment in patients with T2DM at risk of or with HF.</t>
  </si>
  <si>
    <t>694</t>
  </si>
  <si>
    <t>PES may be considered in asymptomatic patients with a spontaneous type I BrS ECG.</t>
  </si>
  <si>
    <t>695</t>
  </si>
  <si>
    <t>It is recommended to select the initial non-invasive diagnostic test based on pre-test likelihood of obstructive CAD, other patient characteristics that influence the performance of non-invasive tests</t>
  </si>
  <si>
    <t>696</t>
  </si>
  <si>
    <t>Shared decision-making is recommended when considering catheter ablation for AF, taking into account procedural risks, likely benefits, and risk factors for AF recurrence.</t>
  </si>
  <si>
    <t>697</t>
  </si>
  <si>
    <t>Patients with resistant hypertension should be considered for referral to clinical centres with expertise in hypertension management for further testing.</t>
  </si>
  <si>
    <t>698</t>
  </si>
  <si>
    <t>Direct oral anticoagulant therapy may be considered in patients with asymptomatic device-detected subclinical AF and elevated thromboembolic risk to prevent ischaemic stroke and thromboembolism, exclu</t>
  </si>
  <si>
    <t>699</t>
  </si>
  <si>
    <t>Obtaining at least three sets of blood cultures is recommended before prompt initiation of empirical antibiotic therapy for CIED infection,710 covering methicillin-resistant staphylococci and Gram-neg</t>
  </si>
  <si>
    <t>700</t>
  </si>
  <si>
    <t>If NCS can safely be postponed (e.g. at least 3 months), it is recommended that patients with ACS being scheduled for NCS undergo diagnostic and therapeutic interventions as recommended for ACS patien</t>
  </si>
  <si>
    <t>701</t>
  </si>
  <si>
    <t>esc_cvd_prevention_2021</t>
  </si>
  <si>
    <t>2021 ESC Guidelines on cardiovascular disease prevention in clinical practice</t>
  </si>
  <si>
    <t>https://doi.org/10.1093/eurheartj/ehab484</t>
  </si>
  <si>
    <t>Patients with mental disorders need intensified attention and support to improve adherence to lifestyle changes and drug treatment.</t>
  </si>
  <si>
    <t>702</t>
  </si>
  <si>
    <t>Pre- and post-test genetic counselling is recommended in all individuals undergoing genetic testing for cardiomyopathy.204,208,227–</t>
  </si>
  <si>
    <t>703</t>
  </si>
  <si>
    <t>TTE is recommended as the first-line imaging modality in suspected IE.</t>
  </si>
  <si>
    <t>704</t>
  </si>
  <si>
    <t>If non-invasive techniques are negative and the suspicion of infective aneurysm remains, invasive angiography should be considered.</t>
  </si>
  <si>
    <t>705</t>
  </si>
  <si>
    <t>Therapeutic anticoagulation with LMWHs or VKAs (except VKAs for the first trimester or beyond Week 36) is recommended for pregnant patients with AF at elevated thromboembolic risk to prevent ischaemic</t>
  </si>
  <si>
    <t>706</t>
  </si>
  <si>
    <t>ICD implantation combined with beta-blockers and flecainide is recommended in CPVT patients after aborted CA.</t>
  </si>
  <si>
    <t>707</t>
  </si>
  <si>
    <t>An ICD may be considered in patients with NDLVC without a genotype associated with high SCD risk and LVEF &gt;35% in the presence of additional risk factors.c</t>
  </si>
  <si>
    <t>708</t>
  </si>
  <si>
    <t>In patients with neuromuscular disease such as myotonic dystrophy type 1 with PR ≥240 ms or QRS duration ≥120 ms, permanent pacemaker implantation may be considered.i.</t>
  </si>
  <si>
    <t>709</t>
  </si>
  <si>
    <t>Diuretics are recommended in CCS patients with HF and signs and/or symptoms of congestion to alleviate symptoms, improve exercise capacity, and reduce HF hospitalizations.915</t>
  </si>
  <si>
    <t>710</t>
  </si>
  <si>
    <t>Tafamidis is recommended in patients with wtTTR-CA and NYHA class I or II symptoms to reduce symptoms, CV hospitalization and mortality.</t>
  </si>
  <si>
    <t>711</t>
  </si>
  <si>
    <t>In patients with non-MRI-conditional pacemaker systems, MRI should be considered if no alternative imaging mode is available and if no epicardial leads, abandoned or damaged leads, or lead adaptors/ex</t>
  </si>
  <si>
    <t>712</t>
  </si>
  <si>
    <t>Surgery should be considered in asympto- matic patients with AAOLCA and no evi- dence of myocardial ischaemia but a high- risk anatomy.c</t>
  </si>
  <si>
    <t>713</t>
  </si>
  <si>
    <t>Additional testing after 3 h is recommended if the ﬁrst two cardiac troponin measurements of the 0 h/1 h algorithm are not conclusive and the clinical condition is still suggestive of ACS.85</t>
  </si>
  <si>
    <t>714</t>
  </si>
  <si>
    <t>Redo CABG should be considered for patients without a patent LIMA graft to the LAD. 842,1192,1196</t>
  </si>
  <si>
    <t>715</t>
  </si>
  <si>
    <t>Avoidance of high-intensity exercise, including competitive sport, may be considered in genotype-positive/phenotype-negative individuals in families with ARVC.</t>
  </si>
  <si>
    <t>716</t>
  </si>
  <si>
    <t>Lipid-lowering drugs Statins are recommended in all NSTE-ACS patients. The aim is to reduce LDL-C by &gt;_50% from baseline and to achieve LDL-C &lt;1.4 mmol/L (&lt;55 mg/ dL).533,534</t>
  </si>
  <si>
    <t>717</t>
  </si>
  <si>
    <t>Low doses of apixaban or rivaroxaban may be considered as an alternative to LMWH or aspirin in patients with MM with VTE-related risk factors (excluding previous VTE) at least during the first 6 month</t>
  </si>
  <si>
    <t>718</t>
  </si>
  <si>
    <t>For the management of microvascular angina associated with reduced coronary/myocardial blood flow reserve, antianginal medications aiming at preventing demand myocardial ischaemia should be considered</t>
  </si>
  <si>
    <t>719</t>
  </si>
  <si>
    <t>Treatment with statins is recommended for older people with ASCVD in the same way as for younger patients.</t>
  </si>
  <si>
    <t>720</t>
  </si>
  <si>
    <t>In patients with NVE due to oral streptococci and S. gallolyticus group susceptible, increased exposure or resistant to penicillin, and who are allergic to beta-lactams, vancomycin for 4 weeks is reco</t>
  </si>
  <si>
    <t>721</t>
  </si>
  <si>
    <t>Ambulatory cardiac rhythm monitoring and CMR may be considered in relatives of SADS decedents.</t>
  </si>
  <si>
    <t>722</t>
  </si>
  <si>
    <t>Psychological interventions are recommended to improve symptoms of depression in patients with CAD in order to improve health- related quality of life.504,505</t>
  </si>
  <si>
    <t>723</t>
  </si>
  <si>
    <t>When ICA is indicated, measurement of FFR/iFR should be considered to evaluate the functional severity of intermediate left main stem stenosesc prior to revascularization.331,334,335</t>
  </si>
  <si>
    <t>724</t>
  </si>
  <si>
    <t>Mexiletine is indicated in LQT3 patients with a prolonged QT interval.</t>
  </si>
  <si>
    <t>725</t>
  </si>
  <si>
    <t>An ILR should be considered in patients with Andersen–Tawil syndrome and unexplained syncope.</t>
  </si>
  <si>
    <t>726</t>
  </si>
  <si>
    <t>Oral metoprolol, propranolol, or verapamil should be considered for long-term management of idiopathic sustained VT during pregnancy.</t>
  </si>
  <si>
    <t>727</t>
  </si>
  <si>
    <t>Measurement of BNP/NT-proBNP is recommended in all patients with suspected chronic heart failure.</t>
  </si>
  <si>
    <t>728</t>
  </si>
  <si>
    <t>In patients with PVR ≥5 WU, fenestrated ASD closure may be considered when PVR falls below 5 WU after targeted PAH treatment and significant LR shunt is present (Qp:Qs &gt;1.5).</t>
  </si>
  <si>
    <t>729</t>
  </si>
  <si>
    <t>In patients with IPAH/HPAH/DPAH who present at high risk of death, initial combination therapy with a PDE5i, an ERA, and i.v./s.c. prostacyclin analogues should be consideredd.</t>
  </si>
  <si>
    <t>730</t>
  </si>
  <si>
    <t>It is recommended that SRT be performed by experienced operators working as part of a multidisciplinary team expert in the management of HCM.664,665,687,695,696,708–</t>
  </si>
  <si>
    <t>731</t>
  </si>
  <si>
    <t>It is recommended that LQTS is diagnosed in the presence of a pathogenic mutation, irrespective of the QT duration.</t>
  </si>
  <si>
    <t>732</t>
  </si>
  <si>
    <t>Exercise testing may be considered to detect reversible myocardial ischaemia and investigate the cause of dyspnoea.</t>
  </si>
  <si>
    <t>733</t>
  </si>
  <si>
    <t>The following is recommended in LQTS: • Avoid QT-prolonging drugs.c • Avoid and correct electrolyte abnormalities. • Avoid genotype-specific triggers for arrhythmias.</t>
  </si>
  <si>
    <t>734</t>
  </si>
  <si>
    <t>If PCI is indicated before NCS, the use of new-generation DES is recommended over BMS and balloon angioplasty.</t>
  </si>
  <si>
    <t>735</t>
  </si>
  <si>
    <t>It is recommended to have high awareness of peri-operative CV complications, combined with surveillance for PMI in patients undergoing intermediate- or high-risk NCS.</t>
  </si>
  <si>
    <t>736</t>
  </si>
  <si>
    <t>Baseline and serial ECGs are recommended in patients at risk of QTc prolongation during ADT therapy.</t>
  </si>
  <si>
    <t>737</t>
  </si>
  <si>
    <t>ICD implantation should be considered in patients with a haemodynamically tolerated SMVT and an LVEF ≥40% if VT ablation fails, is not available, or is not desired.</t>
  </si>
  <si>
    <t>738</t>
  </si>
  <si>
    <t xml:space="preserve">Ivabradine should be considered to reduce the risk of HF hospitalization and CV death in patients with HFrEF and diabetes in sinus rhythm, with a resting heart rate ≥70 b.p.m., who remain symptomatic </t>
  </si>
  <si>
    <t>739</t>
  </si>
  <si>
    <t>The use of PDE5is in patients with ILD and non-severe PH is not recommended.</t>
  </si>
  <si>
    <t>740</t>
  </si>
  <si>
    <t>Baseline NP and cTn measurement is recommended in high- and very high-risk patients prior to anti-HER2-targeted therapies.</t>
  </si>
  <si>
    <t>741</t>
  </si>
  <si>
    <t>When no P/LP variant is identified in the proband or genetic testing is not performed, regular, long-term clinical evaluation using a multiparametric approach that includes ECG and cardiac imaging sho</t>
  </si>
  <si>
    <t>742</t>
  </si>
  <si>
    <t>Lifelong, therapeutic doses of anticoagulation are recommended in all patients with CTEPH762.</t>
  </si>
  <si>
    <t>743</t>
  </si>
  <si>
    <t>Risk scores developed for the general population are not recommended for CV risk assessment in patients with DM or FH.</t>
  </si>
  <si>
    <t>744</t>
  </si>
  <si>
    <t>Long-term MCS should be considered in patients with advanced HFrEF despite optimal medical and device therapy, not eligible for heart transplantation or other surgical options, and without severe righ</t>
  </si>
  <si>
    <t>745</t>
  </si>
  <si>
    <t>Pre-participation cardiovascular evaluation of competitive athletes should be considered.</t>
  </si>
  <si>
    <t>746</t>
  </si>
  <si>
    <t>Statin therapy may be considered in both T1DM and T2DM patients aged ≤30 years with evidence of end organ damage and/or an LDL-C level &gt;2.5 mmol/L, as long as pregnancy is not being planned.</t>
  </si>
  <si>
    <t>747</t>
  </si>
  <si>
    <t>Simplifying medication regimens (e.g. using fixed-dose drug combinations) is recommended to increase patient adherence to medications.1139,1163,1166</t>
  </si>
  <si>
    <t>748</t>
  </si>
  <si>
    <t>In a first-degree relative of a DCM/HNDCM patient, an ECG and an echocardiogram are recommended if: •theindexpatientwasdiagnosed,50yearsofageor hasclinicalfeaturessuggestiveofaninheritedcause,or • the</t>
  </si>
  <si>
    <t>749</t>
  </si>
  <si>
    <t>LIMA is indicated as the conduit of choice for redo CABG in patients in whom the LIMA was not used previously.1195</t>
  </si>
  <si>
    <t>750</t>
  </si>
  <si>
    <t>escmid_consensus_document_for_the_diagnosis_of_prosthetic</t>
  </si>
  <si>
    <t>ESCMID</t>
  </si>
  <si>
    <t>Consensus document for the diagnosis of prosthetic joint infections: a joint paper by the EANM, EBJI</t>
  </si>
  <si>
    <t>https://doi.org/10.1007/s00259-019-4263-9</t>
  </si>
  <si>
    <t>Semiquantitative analysis of WBC accumulation over time in WBC scan increases diagnostic accuracy for PJI.</t>
  </si>
  <si>
    <t>751</t>
  </si>
  <si>
    <t>escmid_mdr_gram_negative_2021</t>
  </si>
  <si>
    <t>ESCMID Guideline on Treatment of Infections Caused by MDR Gram-negative Bacteria 2021</t>
  </si>
  <si>
    <t>https://doi.org/10.1016/j.cmi.2021.11.025</t>
  </si>
  <si>
    <t>For patients with severe infections due to CRE carrying metallo-β-lactamases and/or resistant to all other antibiotics, including ceftazidime-avibactam and meropenem-vaborbactam, we conditionally reco</t>
  </si>
  <si>
    <t>752</t>
  </si>
  <si>
    <t>escmid_c_difficile_2021</t>
  </si>
  <si>
    <t>ESCMID 2021 Update on Treatment Guidance for Clostridioides difficile Infection</t>
  </si>
  <si>
    <t>https://doi.org/10.1016/j.cmi.2021.09.038</t>
  </si>
  <si>
    <t>Options for treatment of any severe and severe-complicated CDI episode include vancomycin 125 mg four times daily for 10 days or fidaxomicin 200 mg twice daily for 10 days. There is no data supporting</t>
  </si>
  <si>
    <t>753</t>
  </si>
  <si>
    <t>escmid_antimicrobial_stewardship_ed_2024</t>
  </si>
  <si>
    <t>European Society of Clinical Microbiology and Infectious Diseases Guidelines for Antimicrobial Stewa</t>
  </si>
  <si>
    <t>https://doi.org/10.1016/j.cmi.2024.05.014</t>
  </si>
  <si>
    <t>We suggest the use of procalcitonin in the ED to guide the initiation of antibiotics for patients with acute exacerbation of asthma who are likely to be admitted to the hospital.</t>
  </si>
  <si>
    <t>754</t>
  </si>
  <si>
    <t>escmid_consensus_document_for_the_diagnosis_of_peripheral</t>
  </si>
  <si>
    <t>Consensus document for the diagnosis of peripheral bone infection in adults: a joint paper by the EA</t>
  </si>
  <si>
    <t>https://doi.org/10.1007/s00259-019-4262-x</t>
  </si>
  <si>
    <t>18F-FDG-PET has high diagnostic accuracy in peripheral bone infection without fracture and osteosynthesis. WBC scintigraphy is the preferred nuclear-medicine imaging technique of choice in patients su</t>
  </si>
  <si>
    <t>755</t>
  </si>
  <si>
    <t>escmid_recommendations_for_antibacterial_therap</t>
  </si>
  <si>
    <t>Recommendations for antibacterial therapy in adults with COVID-19 – an evidence based guideline</t>
  </si>
  <si>
    <t>https://doi.org/10.1016/j.cmi.2020.09.041</t>
  </si>
  <si>
    <t>We suggest to stop antibiotics when representative sputum and blood culture as well as urinary antigen tests taken before start of empirical antibiotic therapy in patients with proven or high likeliho</t>
  </si>
  <si>
    <t>756</t>
  </si>
  <si>
    <t>The use of vancomycin 500 mg four times daily is not recommended.</t>
  </si>
  <si>
    <t>757</t>
  </si>
  <si>
    <t>Ultrasound can detect complications around the prosthesis, but the capacity for detecting infection is controversial.</t>
  </si>
  <si>
    <t>758</t>
  </si>
  <si>
    <t>escmid_brain_abscess_2023</t>
  </si>
  <si>
    <t>ESCMID Guideline on Diagnosis and Treatment of Brain Abscess 2023</t>
  </si>
  <si>
    <t>https://doi.org/10.1016/j.cmi.2023.08.016</t>
  </si>
  <si>
    <t>On the basis of expert opinion, we conditionally do not recommend oral consolidation treatment after 6 wk of IV antimicrobials for brain abscess (excl. permanent neuroanatomical defects, tuberculosis,</t>
  </si>
  <si>
    <t>759</t>
  </si>
  <si>
    <t>ese_graves_orbitopathy_thyroid_eye_disease_2021</t>
  </si>
  <si>
    <t>ESE</t>
  </si>
  <si>
    <t>The 2021 European Group on Graves' orbitopathy (EUGOGO) clinical practice guidelines for the medical</t>
  </si>
  <si>
    <t>https://doi.org/10.1530/EJE-21-0479</t>
  </si>
  <si>
    <t>Rituximab can be considered a second-line treatment for patients with moderate-to-severe and active GO of recent onset (&lt;12 months) if refractory to i.v. glucocorticoids, as long as dysthyroid optic n</t>
  </si>
  <si>
    <t>ØØOO</t>
  </si>
  <si>
    <t>760</t>
  </si>
  <si>
    <t>ese_polycystic_ovary_syndrome_pcos_2023</t>
  </si>
  <si>
    <t>Recommendations from the 2023 international evidence-based guideline for the assessment and manageme</t>
  </si>
  <si>
    <t>https://doi.org/10.1093/ejendo/lvad096</t>
  </si>
  <si>
    <t>Glycaemic status should be assessed at diagnosis in all adults and adolescents with PCOS.</t>
  </si>
  <si>
    <t>⊕⊕◯◯ Low</t>
  </si>
  <si>
    <t>761</t>
  </si>
  <si>
    <t>ese_adrenal_incidentaloma_2016</t>
  </si>
  <si>
    <t xml:space="preserve">Management of adrenal incidentalomas: European Society of Endocrinology Clinical Practice Guideline </t>
  </si>
  <si>
    <t>https://doi.org/10.1530/EJE-16-0467</t>
  </si>
  <si>
    <t>R 4.6. We recommend perioperative glucocorticoid treatment at major surgical stress doses, as recommended by guidelines, in all patients undergoing surgery for an adrenal tumor, where there is evidenc</t>
  </si>
  <si>
    <t>Not graded</t>
  </si>
  <si>
    <t>762</t>
  </si>
  <si>
    <t>ese_endocrine_work_up_obesity_2020</t>
  </si>
  <si>
    <t>European Society of Endocrinology Clinical Practice Guideline: Endocrine work-up in obesity</t>
  </si>
  <si>
    <t>https://doi.org/10.1530/EJE-19-0893</t>
  </si>
  <si>
    <t>We suggest not to test for hyperparathyroidism routinely in patients with obesity.</t>
  </si>
  <si>
    <t>+000</t>
  </si>
  <si>
    <t>763</t>
  </si>
  <si>
    <t>ese_adrenocortical_carcinoma_adults_2018</t>
  </si>
  <si>
    <t>European Society of Endocrinology Clinical Practice Guidelines on the management of adrenocortical c</t>
  </si>
  <si>
    <t>https://doi.org/10.1530/EJE-18-0608</t>
  </si>
  <si>
    <t>R.2.3. We recommend that all patients with suspected ACC undergo a detailed hormonal work-up to identify potential autonomous excess of glucocorticoids, sex hormones, mineralocorticoids and adrenocort</t>
  </si>
  <si>
    <t>Not graded (good practice)</t>
  </si>
  <si>
    <t>764</t>
  </si>
  <si>
    <t>We suggest testing for IGF1/GH only in patients with suspected hypopituitarism; if tested a dynamic test should be performed as a minimum.</t>
  </si>
  <si>
    <t>765</t>
  </si>
  <si>
    <t>ese_chronic_hypoparathyroidism_adults_2025</t>
  </si>
  <si>
    <t>Revised European Society of Endocrinology Clinical Practice Guideline: Treatment of Chronic Hypopara</t>
  </si>
  <si>
    <t>https://doi.org/10.1093/ejendo/lvaf222</t>
  </si>
  <si>
    <t>We recommend PTH replacement therapy in patients with chronic HypoPT who continue to have signs or symptoms of HypoPT despite optimised treatment with (activated) vitamin D and adequate calcium intake</t>
  </si>
  <si>
    <t>⊕⊕OO</t>
  </si>
  <si>
    <t>766</t>
  </si>
  <si>
    <t>ese_turner_syndrome_2017</t>
  </si>
  <si>
    <t xml:space="preserve">Clinical practice guidelines for the care of girls and women with Turner syndrome: proceedings from </t>
  </si>
  <si>
    <t>https://doi.org/10.1530/EJE-17-0430</t>
  </si>
  <si>
    <t>We recommend that girls and women with TS attend specialist interdisciplinary or multidisciplinary clinics for health surveillance.</t>
  </si>
  <si>
    <t>⨁⨁◯◯</t>
  </si>
  <si>
    <t>767</t>
  </si>
  <si>
    <t>R.2.7. We recommend against the use of an adrenal biopsy in the diagnostic work-up of patients with suspected ACC unless there is evidence of metastatic disease that precludes surgery and histopatholo</t>
  </si>
  <si>
    <t>768</t>
  </si>
  <si>
    <t>ese_adrenal_incidentalomas_2023</t>
  </si>
  <si>
    <t>European Society of Endocrinology clinical practice guidelines on the management of adrenal incident</t>
  </si>
  <si>
    <t>https://doi.org/10.1093/ejendo/lvad066</t>
  </si>
  <si>
    <t>R.2.4 If CT demonstrates a homogeneous adrenal mass with unenhanced HU between 11 and 20 and a tumor size &lt; 4 cm, and the results of the hormonal work-up do not indicate significant hormone excess, we</t>
  </si>
  <si>
    <t>very low (⊕○○○)</t>
  </si>
  <si>
    <t>769</t>
  </si>
  <si>
    <t>Funding bodies should recognize that PCOS is highly prevalent with multi-system effects including cardiometabolic disease and should diversify and increase research support accordingly.</t>
  </si>
  <si>
    <t>❖❖❖❖ Strong recommendation for the option (consensus recommendation, no evidence quality grade)</t>
  </si>
  <si>
    <t>770</t>
  </si>
  <si>
    <t>Healthcare professionals should employ shared decision-making and support patient agency or ability to take independent actions to manage their health and care.</t>
  </si>
  <si>
    <t>⊕⊕⊕◯ Moderate</t>
  </si>
  <si>
    <t>771</t>
  </si>
  <si>
    <t>We recommend not to test routinely other hormones, such as leptin and ghrelin, unless there is suspicion of a syndromic obesity.</t>
  </si>
  <si>
    <t>772</t>
  </si>
  <si>
    <t>R 2.2. We recommend that all adrenal incidentalomas undergo an imaging procedure to determine if the mass is homogeneous and lipid-rich and therefore benign (⊕OOO). For this purpose, we primarily reco</t>
  </si>
  <si>
    <t>⊕OOO</t>
  </si>
  <si>
    <t>773</t>
  </si>
  <si>
    <t>Exogenous recombinant luteinising hormone (LH) treatment should not be routinely used in combination with FSH therapy in women with PCOS undergoing controlled ovarian hyperstimulation for IVF/ICSI.</t>
  </si>
  <si>
    <t>❖ Conditional recommendation against the option (consensus recommendation, no evidence quality grade)</t>
  </si>
  <si>
    <t>774</t>
  </si>
  <si>
    <t>R.8.7. For all other patients with recurrent disease, an individualized approach is needed.</t>
  </si>
  <si>
    <t>775</t>
  </si>
  <si>
    <t>R 6.3.2. We suggest that in patients with a history of extra-adrenal malignancy, FDG-PET/CT, performed as part of investigations for the underlying malignancy, can replace other adrenal imaging techni</t>
  </si>
  <si>
    <t>776</t>
  </si>
  <si>
    <t>ese_pituitary_adenomas_pregnancy_2021</t>
  </si>
  <si>
    <t>European Society of Endocrinology clinical practice guideline for the diagnosis and management of pi</t>
  </si>
  <si>
    <t>https://doi.org/10.1530/EJE-21-0462</t>
  </si>
  <si>
    <t>R.7.7. We recommend that breastfeeding be considered.</t>
  </si>
  <si>
    <t>Ungraded (good practice)</t>
  </si>
  <si>
    <t>777</t>
  </si>
  <si>
    <t>ese_pediatric_adrenal_extra_adrenal_paraganglioma_2025</t>
  </si>
  <si>
    <t>European clinical guidance for the management of adrenal and extra-adrenal paraganglioma in children</t>
  </si>
  <si>
    <t>https://doi.org/10.1093/ejendo/lvaf239</t>
  </si>
  <si>
    <t>In the absence of germline PVs, somatic tumor sequencing may yield additional insights, particularly in patients with multifocal disease or atypical histopathology, and can help identify candidates fo</t>
  </si>
  <si>
    <t>Level V</t>
  </si>
  <si>
    <t>778</t>
  </si>
  <si>
    <t>ese_pubertal_induction_sex_hormone_replacement_2022</t>
  </si>
  <si>
    <t>Pubertal induction and transition to adult sex hormone replacement in patients with congenital pitui</t>
  </si>
  <si>
    <t>https://doi.org/10.1530/EJE-22-0073</t>
  </si>
  <si>
    <t>R 2.8 We suggest titrating/adjusting the oestrogen therapy dose based on the appropriate progression of puberty during puberty induction or sex hormone replacement in girls.</t>
  </si>
  <si>
    <t>+OOO (very low)</t>
  </si>
  <si>
    <t>779</t>
  </si>
  <si>
    <t>We recommend not to test for hypercortisolism in patients using corticosteroids.</t>
  </si>
  <si>
    <t>780</t>
  </si>
  <si>
    <t>R.5.3. During follow-up, we recommend re-assessing prognosis at each evaluation, to guide treatment strategy.</t>
  </si>
  <si>
    <t>++OO</t>
  </si>
  <si>
    <t>781</t>
  </si>
  <si>
    <t>Cardiovascular general population guidelines could consider the inclusion of PCOS as a cardiovascular risk factor.</t>
  </si>
  <si>
    <t>❖❖❖ Conditional recommendation for the option (consensus recommendation, no evidence quality grade)</t>
  </si>
  <si>
    <t>782</t>
  </si>
  <si>
    <t>ese_menopause_perimenopause_2025</t>
  </si>
  <si>
    <t>European Society of Endocrinology clinical practice guideline for evaluation and management of menop</t>
  </si>
  <si>
    <t>https://doi.org/10.1093/ejendo/lvaf206</t>
  </si>
  <si>
    <t>We recommend that, when the medical history and clinical presentation of a woman of reproductive age include interference with the menstrual cycle and/or lead to menopause-like symptoms, other diagnos</t>
  </si>
  <si>
    <t>Good Clinical Practice</t>
  </si>
  <si>
    <t>783</t>
  </si>
  <si>
    <t>Preoperative biopsy is generally contraindicated due to the risk of catecholamine surge and tumor seeding.</t>
  </si>
  <si>
    <t>Level IV</t>
  </si>
  <si>
    <t>784</t>
  </si>
  <si>
    <t>ese_glucocorticoid_induced_adrenal_insufficiency_2024</t>
  </si>
  <si>
    <t>European Society of Endocrinology and Endocrine Society Joint Clinical Guideline: Diagnosis and ther</t>
  </si>
  <si>
    <t>https://doi.org/10.1093/ejendo/lvae029</t>
  </si>
  <si>
    <t xml:space="preserve">R 2.11 We suggest that patients aiming to discontinue glucocorticoids, but without recovery of HPA axis in one year while on physiologic daily dose equivalent, should be evaluated by an endocrinology </t>
  </si>
  <si>
    <t>Good clinical practice</t>
  </si>
  <si>
    <t>785</t>
  </si>
  <si>
    <t xml:space="preserve">For metastatic non-SDHx adrenal PGL, [18F]F-DOPA PET/CT and [68Ga]Ga-DOTA-SSA PET/CT show similar sensitivity; selection can be individualized based on availability and the clinical question (staging </t>
  </si>
  <si>
    <t>786</t>
  </si>
  <si>
    <t>R.6.1. We recommend following patients with regular cross-sectional imaging of the abdomen, pelvis and chest for disease recurrence or progression.</t>
  </si>
  <si>
    <t>787</t>
  </si>
  <si>
    <t>In women with PCOS and infertility due to anovulation alone with normal semen analysis, the risks, benefits, costs and timing, and techniques of tubal patency testing in relation to the cost and compl</t>
  </si>
  <si>
    <t>788</t>
  </si>
  <si>
    <t>We recommend that management of pregnant women with TS should be undertaken by a multidisciplinary team including maternal-fetal medicine specialists and cardiologists with expertise in managing women</t>
  </si>
  <si>
    <t>⨁⨁⨁◯</t>
  </si>
  <si>
    <t>789</t>
  </si>
  <si>
    <t>Healthcare professionals should recognize that pregnant women with PCOS have an increased risk of: higher gestational weight gain; miscarriage; gestational diabetes; hypertension in pregnancy and pree</t>
  </si>
  <si>
    <t>⊕◯◯◯ Very Low</t>
  </si>
  <si>
    <t>790</t>
  </si>
  <si>
    <t>Women with PCOS diagnosed with depression, anxiety, and/or eating disorders should be offered psychological therapy guided by regional general population guidelines and the preference of the woman wit</t>
  </si>
  <si>
    <t>791</t>
  </si>
  <si>
    <t>Sight-threatening GO: in this emergency condition, treatment of GO is an absolute priority; hyperthyroidism should be treated with ATDs until treatment of GO is completed</t>
  </si>
  <si>
    <t>ØØØO</t>
  </si>
  <si>
    <t>792</t>
  </si>
  <si>
    <t>We recommend that testing for gonadal dysfunction is not routinely applied in female patients with obesity.</t>
  </si>
  <si>
    <t>++00</t>
  </si>
  <si>
    <t>793</t>
  </si>
  <si>
    <t>R 3.6. We recommend screening patients with 'possible autonomous cortisol secretion' or 'autonomous cortisol secretion' for hypertension and type 2 diabetes mellitus (⊕OOO) and suggest offering approp</t>
  </si>
  <si>
    <t>794</t>
  </si>
  <si>
    <t>ese_phaeochromocytoma_paraganglioma_long_term_follow_2016</t>
  </si>
  <si>
    <t>European Society of Endocrinology Clinical Practice Guideline for long-term follow-up of patients op</t>
  </si>
  <si>
    <t>https://doi.org/10.1530/EJE-16-0033</t>
  </si>
  <si>
    <t>We suggest assaying chromogranin A preoperatively in patients with normal preoperative plasma or urinary levels of MN and 3MT.</t>
  </si>
  <si>
    <t>795</t>
  </si>
  <si>
    <t>ese_aggressive_pituitary_tumours_pituitary_carcinomas_2025</t>
  </si>
  <si>
    <t>European Society of Endocrinology clinical practice guideline on the management of aggressive pituit</t>
  </si>
  <si>
    <t>https://doi.org/10.1093/ejendo/lvaf100</t>
  </si>
  <si>
    <t>R 2.1.5 We recommend screening for metastatic disease in patients with aggressive pituitary tumours, and either 1. site-specific symptoms or 2. discordant biochemical and radiological findings or 3. b</t>
  </si>
  <si>
    <t>796</t>
  </si>
  <si>
    <t>We recommend defining malignancy in PPGL as the presence of metastasis in lymph nodes or other distant sites.</t>
  </si>
  <si>
    <t>797</t>
  </si>
  <si>
    <t>esge_enteral_tubes_part_1_2021</t>
  </si>
  <si>
    <t>ESGE</t>
  </si>
  <si>
    <t>ESGE Enteral Tubes Part 1</t>
  </si>
  <si>
    <t>https://doi.org/10.1055/a-1303-7449</t>
  </si>
  <si>
    <t>ESGE recommends refraining from PEG placement in patients with advanced dementia.</t>
  </si>
  <si>
    <t>low quality evidence</t>
  </si>
  <si>
    <t>798</t>
  </si>
  <si>
    <t>esge_post_polypectomy_2020</t>
  </si>
  <si>
    <t>ESGE Guideline: Post-polypectomy colonoscopy surveillance - Update 2020</t>
  </si>
  <si>
    <t>https://doi.org/10.1055/a-1185-3109</t>
  </si>
  <si>
    <t>The following recommendations for post-polypectomy colonoscopic surveillance apply to all patients who had one or more polyps that were completely removed during a high quality baseline colonoscopy.</t>
  </si>
  <si>
    <t>799</t>
  </si>
  <si>
    <t>esge_therapeutic_eus_2021</t>
  </si>
  <si>
    <t>ESGE Guideline: Therapeutic endoscopic ultrasonography (2021)</t>
  </si>
  <si>
    <t>https://doi.org/10.1055/a-1717-1391</t>
  </si>
  <si>
    <t>ESGE recommends that, in patients at high surgical risk, EUS-GBD should be favored over PTGBD where both techniques are available, owing to the lower rates of AEs and need for re-intervention in EUS-G</t>
  </si>
  <si>
    <t>800</t>
  </si>
  <si>
    <t>ESGE recommends refraining from PEG placement in patients with a life expectancy shorter than 30 days.</t>
  </si>
  <si>
    <t>801</t>
  </si>
  <si>
    <t>ESGE recommends considering the following indications for enteral tube insertion: (i) clinical conditions that make oral intake impossible (neurological conditions, obstructive causes); (ii) acute and</t>
  </si>
  <si>
    <t>802</t>
  </si>
  <si>
    <t>esge_ampullary_tumors_2021</t>
  </si>
  <si>
    <t>ESGE Ampullary Tumors</t>
  </si>
  <si>
    <t>https://doi.org/10.1055/a-1397-3198</t>
  </si>
  <si>
    <t>ESGE suggests, when prophylactic pancreatic duct stenting is not possible after endoscopic papillectomy, that other alternatives such as high volume hydration using lactated Ringer’s solution can be c</t>
  </si>
  <si>
    <t>803</t>
  </si>
  <si>
    <t>esge_endoscopy_in_patients_on_antiplatelet_or_anticoagu</t>
  </si>
  <si>
    <t>https://doi.org/10.1055/a-1547-2282</t>
  </si>
  <si>
    <t>For low-risk endoscopic procedures we recommend continuing P2Y12 receptor antagonists as single or dual antiplatelet therapy.</t>
  </si>
  <si>
    <t>804</t>
  </si>
  <si>
    <t>esge_esd_2022</t>
  </si>
  <si>
    <t>Endoscopic Submucosal Dissection for Superficial GI Lesions</t>
  </si>
  <si>
    <t>https://doi.org/10.1055/a-1811-7025</t>
  </si>
  <si>
    <t>ESGE suggests that when suspicious features for deep submucosal invasion are present, complete staging should be considered in order to exclude stage T2/T3 or lymph node metastasis (LNM).</t>
  </si>
  <si>
    <t>805</t>
  </si>
  <si>
    <t>esge_bowel_prep_2019</t>
  </si>
  <si>
    <t>ESGE Guideline: Bowel preparation for colonoscopy - Update 2019</t>
  </si>
  <si>
    <t>https://doi.org/10.1055/a-0959-0505</t>
  </si>
  <si>
    <t>ESGE recommends the use of enhanced instructions for bowel preparation</t>
  </si>
  <si>
    <t>806</t>
  </si>
  <si>
    <t>esge_ercp_adverse_events_2019</t>
  </si>
  <si>
    <t>ESGE Guideline: Prophylaxis of post-ERCP pancreatitis (2019)</t>
  </si>
  <si>
    <t>https://doi.org/10.1055/a-1075-4080</t>
  </si>
  <si>
    <t>ESGE suggests administration of 5 mg sublingual glyceryl trinitrate before ERCP in patients with a contraindication to NSAIDs or to aggressive hydration for the prevention of PEP.</t>
  </si>
  <si>
    <t>807</t>
  </si>
  <si>
    <t>esge_capsule_enteroscopy_update_2022</t>
  </si>
  <si>
    <t>ESGE Capsule Enteroscopy Update</t>
  </si>
  <si>
    <t>https://doi.org/10.1055/a-1973-3796</t>
  </si>
  <si>
    <t>ESGE recommends device-assisted enteroscopy if medical therapy has not achieved spontaneous capsule passage.</t>
  </si>
  <si>
    <t>808</t>
  </si>
  <si>
    <t>ESGE recommends using small-bowel capsule endoscopy in cases of equivocal diagnosis of celiac disease since it is essential for final diagnosis and therapy.</t>
  </si>
  <si>
    <t>809</t>
  </si>
  <si>
    <t>esge_cbd_stones_2019</t>
  </si>
  <si>
    <t>ESGE Guideline: Endoscopic management of common bile duct stones (2019)</t>
  </si>
  <si>
    <t>https://doi.org/10.1055/a-0862-0346</t>
  </si>
  <si>
    <t>ESGE recommends that balloon and basket catheters are equally effective and safe for common bile duct stone removal.</t>
  </si>
  <si>
    <t>810</t>
  </si>
  <si>
    <t>esge_biliary_stenting_2018</t>
  </si>
  <si>
    <t>ESGE Guideline: Biliary stenting - Indications, choice of stents, and results (2018)</t>
  </si>
  <si>
    <t>https://doi.org/10.1055/a-0659-9864</t>
  </si>
  <si>
    <t>ESGE recommends against routine preoperative biliary drainage in patients with malignant extrahepatic biliary obstruction; preoperative biliary drainage should be reserved for patients with cholangiti</t>
  </si>
  <si>
    <t>811</t>
  </si>
  <si>
    <t>esge_variceal_hemorrhage_2022</t>
  </si>
  <si>
    <t>ESGE Variceal Hemorrhage</t>
  </si>
  <si>
    <t>https://doi.org/10.1055/a-1939-4887</t>
  </si>
  <si>
    <t>ESGE recommends that patients with compensated ACLD (due to viruses, alcohol, and/or nonobese [BMI &lt; 30 kg/m2] nonalcoholic steatohepatitis) and clinically significant portal hypertension (HVPG &gt; 10 m</t>
  </si>
  <si>
    <t>812</t>
  </si>
  <si>
    <t>esge_nonvariceal_ugib_2021</t>
  </si>
  <si>
    <t>ESGE Guideline: Diagnosis and management of nonvariceal upper GI hemorrhage - Update 2021</t>
  </si>
  <si>
    <t>https://doi.org/10.1055/a-1369-5274</t>
  </si>
  <si>
    <t>ESGE recommends PPIs for gastroduodenal prophylaxis in patients requiring ongoing anticoagulation and with a history of NVUGIH</t>
  </si>
  <si>
    <t>813</t>
  </si>
  <si>
    <t>ESGE recommends the availability of both an on-call GI endoscopist proficient in endoscopic hemostasis and on-call nursing staff with technical expertise in the use of endoscopic devices, to allow per</t>
  </si>
  <si>
    <t>814</t>
  </si>
  <si>
    <t>esge_subepithelial_lesions_nets_2022</t>
  </si>
  <si>
    <t>ESGE Subepithelial Lesions NETs</t>
  </si>
  <si>
    <t>https://doi.org/10.1055/a-1751-5742</t>
  </si>
  <si>
    <t>ESGE suggests providing tissue diagnosis for all SELs with features suggestive of gastrointestinal stromal tumor (GIST) if they are of size &gt; 20 mm, or have high risk stigmata, or require surgical res</t>
  </si>
  <si>
    <t>815</t>
  </si>
  <si>
    <t>esge_enteral_tubes_part_2_2021</t>
  </si>
  <si>
    <t>ESGE Enteral Tubes Part 2</t>
  </si>
  <si>
    <t>https://doi.org/10.1055/a-1331-8080</t>
  </si>
  <si>
    <t>ESGE suggests that an effort to treat any underlying pre- disposing disease should be made in the case of peristomal leakage.</t>
  </si>
  <si>
    <t>816</t>
  </si>
  <si>
    <t>ESGE recommends that a plastic stent placed because of incomplete common bile duct stone clearance should be removed or exchanged within 3 – 6 months to avoid infectious complications.</t>
  </si>
  <si>
    <t>817</t>
  </si>
  <si>
    <t>ESGE suggests adding oral simethicone to bowel preparation</t>
  </si>
  <si>
    <t>818</t>
  </si>
  <si>
    <t>esge_esophageal_stenting_update_2021</t>
  </si>
  <si>
    <t>ESGE Esophageal Stenting Update</t>
  </si>
  <si>
    <t>https://doi.org/10.1055/a-1475-0063</t>
  </si>
  <si>
    <t>ESGE recommends esophageal SEMS placement for sealing malignant tracheoesophageal or bronchoesophageal fistulas.</t>
  </si>
  <si>
    <t>819</t>
  </si>
  <si>
    <t>ESGE suggests to grade the severity of ERCP-related adverse events according to the Atlanta classification for pancreatitis, the revised Tokyo Guidelines 2018 for cholangitis and cholecystitis, and th</t>
  </si>
  <si>
    <t>820</t>
  </si>
  <si>
    <t>esge_barrett_esophagus_2023</t>
  </si>
  <si>
    <t>ESGE Barrett Esophagus</t>
  </si>
  <si>
    <t>https://doi.org/10.1055/a-2176-2440</t>
  </si>
  <si>
    <t>ESGE recommends against screening for BE in an unselected population.</t>
  </si>
  <si>
    <t>821</t>
  </si>
  <si>
    <t>ESGE recommends liver function tests and abdominal ultrasonography as the initial diagnostic steps for suspected common bile duct stones. Combining these tests defines the probability of having common</t>
  </si>
  <si>
    <t>822</t>
  </si>
  <si>
    <t>esge_tissue_sampling_upper_gi_2021</t>
  </si>
  <si>
    <t>ESGE Tissue Sampling Upper GI</t>
  </si>
  <si>
    <t>https://doi.org/10.1055/a-1611-5091</t>
  </si>
  <si>
    <t xml:space="preserve">ESGE suggests performing peroral cholangioscopy (POC) and/or EUS-guided tissue acquisition in indeterminate biliary strictures. For proximal and intrinsic strictures, POC is preferred. For distal and </t>
  </si>
  <si>
    <t>823</t>
  </si>
  <si>
    <t>ESGE suggests antibiotic prophylaxis before ERCP in the case of anticipated incomplete biliary drainage, for severely immunocompromised patients, and when performing cholangioscopy. The antibiotic age</t>
  </si>
  <si>
    <t>824</t>
  </si>
  <si>
    <t>esge_acute_lower_gi_bleeding_2021</t>
  </si>
  <si>
    <t>ESGE Acute Lower GI Bleeding</t>
  </si>
  <si>
    <t>https://doi.org/10.1055/a-1496-8969</t>
  </si>
  <si>
    <t xml:space="preserve">ESGE recommends withholding aspirin during the bleeding event in patients taking low dose aspirin for primary cardiovascular prevention and considering its permanent discontinuation unless clinically </t>
  </si>
  <si>
    <t>825</t>
  </si>
  <si>
    <t>ESGE suggests stopping post-polypectomy endoscopic surveillance at the age of 80 years, or earlier if life expectancy is thought to be limited by co-morbidities.</t>
  </si>
  <si>
    <t>826</t>
  </si>
  <si>
    <t>ESGE suggests the use of high resolution virtual chromoendoscopy for endoscopic diagnosis and staging of ampullary tumors.</t>
  </si>
  <si>
    <t>827</t>
  </si>
  <si>
    <t>ESGE suggests EUS-guided biliary drainage with hepaticogastrostomy only for malignant inoperable hilar biliary obstruction with a dilated left hepatic duct when inadequately drained by ERCP and/or per</t>
  </si>
  <si>
    <t>828</t>
  </si>
  <si>
    <t>ESGE recommends close monitoring after PEG, PEG-J or D-PEJ tube placement, with due attention to unexplained tachycardia and hypotension.</t>
  </si>
  <si>
    <t>829</t>
  </si>
  <si>
    <t>ESGE recommends that gastric varices be documented in the endoscopy report according to the Sarin classification</t>
  </si>
  <si>
    <t>830</t>
  </si>
  <si>
    <t>esgo_cervical_cancer_2023</t>
  </si>
  <si>
    <t>ESGO</t>
  </si>
  <si>
    <t>ESGO/ESTRO/ESP Guidelines for the management of patients with cervical cancer – Update 2023</t>
  </si>
  <si>
    <t>https://doi.org/10.1136/ijgc-2023-004429</t>
  </si>
  <si>
    <t>When surgical staging of nodal disease is indicated, it can be considered either as an isolated (preferentially laparoscopic) procedure or as the first step of surgical management in radiologic node n</t>
  </si>
  <si>
    <t>831</t>
  </si>
  <si>
    <t>esgo_vulvar_cancer_2023</t>
  </si>
  <si>
    <t>ESGO Guidelines for the Management of Patients with Vulvar Cancer - Update 2023</t>
  </si>
  <si>
    <t>https://doi.org/10.1136/ijgc-2023-004486</t>
  </si>
  <si>
    <t>All patients with vulvar cancer should be referred to a center specialized in vulvar disease and treated by a multidisciplinary gynecological oncology team.</t>
  </si>
  <si>
    <t>V, B</t>
  </si>
  <si>
    <t>832</t>
  </si>
  <si>
    <t>Opioids are the main analgesics for the treatment of moderate to severe cancer-related pain; the first option is oral morphine.</t>
  </si>
  <si>
    <t>833</t>
  </si>
  <si>
    <t>Ovarian transposition cannot be recommended in N1 status.</t>
  </si>
  <si>
    <t>IV</t>
  </si>
  <si>
    <t>834</t>
  </si>
  <si>
    <t>Primary chemoradiotherapy is the treatment of choice in patients with unresectable disease and should be considered for tumors which would otherwise need exenterative surgery with stoma formation.</t>
  </si>
  <si>
    <t>III, B</t>
  </si>
  <si>
    <t>835</t>
  </si>
  <si>
    <t>Fertility sparing procedures comprise of conization, simple trachelectomy, radical (vaginal) trachelectomy, abdominal radical trachelectomy.</t>
  </si>
  <si>
    <t>836</t>
  </si>
  <si>
    <t>In previously irradiated women, complete resection and/or stereotactic radiotherapy can be considered for oligometastatic inguinofemoral/pelvic disease.</t>
  </si>
  <si>
    <t>837</t>
  </si>
  <si>
    <t>Para-aortic LN dissection (PALND), at least up to inferior mesenteric artery, may be considered in locally advanced cervical cancer with negative para-aortic LN on imaging for staging purposes.</t>
  </si>
  <si>
    <t>838</t>
  </si>
  <si>
    <t>Palliative surgery can be considered in selected cases.</t>
  </si>
  <si>
    <t>IV, B</t>
  </si>
  <si>
    <t>839</t>
  </si>
  <si>
    <t>Several treatment modalities are available and should be discussed with the patient taking into account the tumor stage, gestational week of pregnancy and the patient's preferences (delay of oncologic</t>
  </si>
  <si>
    <t>840</t>
  </si>
  <si>
    <t>When a SLN is not found (method failure), inguinofemoral lymphadenectomy should be performed.</t>
  </si>
  <si>
    <t>I, A</t>
  </si>
  <si>
    <t>841</t>
  </si>
  <si>
    <t>In the case of vaginal bleeding, vaginal packing, interventional radiology (selective embolization) or palliative radiotherapy (if feasible) are recommended. There is not enough evidence to prefer one</t>
  </si>
  <si>
    <t>842</t>
  </si>
  <si>
    <t>Lymphoscintigraphy is advised to enable the pre-operative identification, location, and number of SLN.</t>
  </si>
  <si>
    <t>III, C</t>
  </si>
  <si>
    <t>843</t>
  </si>
  <si>
    <t>Follow-up should be performed/coordinated by a physician experienced with follow-up care after radiotherapy and BT including monitoring of early, and late treatment-related side effects.</t>
  </si>
  <si>
    <t>844</t>
  </si>
  <si>
    <t>Histopathological diagnosis of rare cervical tumors needs confirmation (second opinion) by an expert pathologist.</t>
  </si>
  <si>
    <t>845</t>
  </si>
  <si>
    <t>eshre_poi_2016</t>
  </si>
  <si>
    <t>ESHRE</t>
  </si>
  <si>
    <t>ESHRE Guideline: Management of Women with Premature Ovarian Insufficiency</t>
  </si>
  <si>
    <t>https://doi.org/10.1093/humrep/dew027</t>
  </si>
  <si>
    <t>Migraine should not be seen as a contraindication to HRT use by women with POI.</t>
  </si>
  <si>
    <t>846</t>
  </si>
  <si>
    <t>eshre_endometriosis_2022</t>
  </si>
  <si>
    <t>ESHRE Guideline: Endometriosis (2022 Update)</t>
  </si>
  <si>
    <t>https://doi.org/10.1093/hropen/hoac009</t>
  </si>
  <si>
    <t>It is recommended to offer surgery as one of the options to reduce endometriosis-associated pain.</t>
  </si>
  <si>
    <t>847</t>
  </si>
  <si>
    <t>Clinicians should be aware that there is epidemiological data, mostly on ovarian endometriosis, showing that complete excision of visible endometriosis may reduce the risk of ovarian cancer. The poten</t>
  </si>
  <si>
    <t>848</t>
  </si>
  <si>
    <t>eshre_ovarian_stimulation_2025</t>
  </si>
  <si>
    <t>ESHRE Guideline: Ovarian Stimulation for IVF/ICSI (2025 Update)</t>
  </si>
  <si>
    <t>https://doi.org/10.1093/humrep/deag018</t>
  </si>
  <si>
    <t>The addition of a GnRH agonist to hCG as a dual trigger for final oocyte maturation is probably not recommended for low responders.</t>
  </si>
  <si>
    <t>849</t>
  </si>
  <si>
    <t>eshre_rpl_2022</t>
  </si>
  <si>
    <t>ESHRE Guideline: Recurrent Pregnancy Loss (2022 Update)</t>
  </si>
  <si>
    <t>https://doi.org/10.1093/hropen/hoad002</t>
  </si>
  <si>
    <t>There is insufficient evidence to recommend metformin supplementation in pregnancy to prevent PL in women with RPL and glucose metabolism defects.</t>
  </si>
  <si>
    <t>850</t>
  </si>
  <si>
    <t>eshre_female_fertility_preservation_2020</t>
  </si>
  <si>
    <t>Female Fertility Preservation</t>
  </si>
  <si>
    <t>https://doi.org/10.1093/hropen/hoaa052</t>
  </si>
  <si>
    <t>IVM should be regarded as an innovative FP procedure.</t>
  </si>
  <si>
    <t>851</t>
  </si>
  <si>
    <t>Clinicians should inform women with endometriosis requesting information on their risk of developing cancer that endometriosis is not associated with a significantly higher risk of cancer overall. Alt</t>
  </si>
  <si>
    <t>852</t>
  </si>
  <si>
    <t>eshre_embryo_transfer_2024</t>
  </si>
  <si>
    <t>ESHRE Guideline: Number of Embryos to Transfer During IVF/ICSI</t>
  </si>
  <si>
    <t>https://doi.org/10.1093/humrep/deae010</t>
  </si>
  <si>
    <t>It is recommended to consider increased indirect costs with multiple pregnancies due to sick leave days, over-the-counter medication, and loss of productivity because of an ill child.</t>
  </si>
  <si>
    <t>853</t>
  </si>
  <si>
    <t>eshre_fertility_sparing_gyn_cancer_2024</t>
  </si>
  <si>
    <t>ESGO/ESHRE/ESGE Guidelines for the fertility-sparing treatment of patients with endometrial carcinom</t>
  </si>
  <si>
    <t>https://doi.org/10.1093/hropen/hoac057</t>
  </si>
  <si>
    <t>MRI or CT scan is recommended for detecting pelvic or para-aortic lymph nodes and distant metastases.</t>
  </si>
  <si>
    <t>II</t>
  </si>
  <si>
    <t>854</t>
  </si>
  <si>
    <t>pmc_10628516</t>
  </si>
  <si>
    <t>Good practice recommendations on add-ons in reproductive medicine †</t>
  </si>
  <si>
    <t>https://doi.org/10.1093/humrep/dead184</t>
  </si>
  <si>
    <t>Adjuncts (metformin, growth hormone, testosterone, DHEA, aspirin, indomethacin, and sildenafil) before or during ovarian stimulation are not recommended.</t>
  </si>
  <si>
    <t>855</t>
  </si>
  <si>
    <t>HRT is generally contra-indicated in breast cancer survivors.</t>
  </si>
  <si>
    <t>856</t>
  </si>
  <si>
    <t>Mitochondrial DNA load measurement is currently not recommended for routine clinical use; at present it is to be considered in the research phase.</t>
  </si>
  <si>
    <t>No data</t>
  </si>
  <si>
    <t>857</t>
  </si>
  <si>
    <t>Progesterone support should be administered until at least the day of the pregnancy test.</t>
  </si>
  <si>
    <t>858</t>
  </si>
  <si>
    <t>It is probably recommended to measure serum progesterone levels on the day of final oocyte maturation in cycles aimed for a fresh embryo transfer.</t>
  </si>
  <si>
    <t>859</t>
  </si>
  <si>
    <t>The addition of LH to progesterone for luteal phase support can only be used in the context of a clinical trial.</t>
  </si>
  <si>
    <t>Research only</t>
  </si>
  <si>
    <t>860</t>
  </si>
  <si>
    <t xml:space="preserve">The association of follicle size as a triggering criterion with outcome has not been sufficiently studied. Physicians may choose the follicle size upon which final oocyte maturation is triggered on a </t>
  </si>
  <si>
    <t>861</t>
  </si>
  <si>
    <t>The GDG recommends that clinicians take a shared decision-making approach and take individual preferences, side effects, individual efficacy, costs and availability into consideration when choosing ho</t>
  </si>
  <si>
    <t>862</t>
  </si>
  <si>
    <t>The combined use of recombinant human FSH (rFSH) with human menopausal gonadotropin (hMG), either from the start or mid-phase of ovarian stimulation, is probably not recommended over the use of either</t>
  </si>
  <si>
    <t>863</t>
  </si>
  <si>
    <t>In hypertensive women with POI, transdermal estradiol is the preferred method of delivery.</t>
  </si>
  <si>
    <t>864</t>
  </si>
  <si>
    <t>Surgical removal of intramural fibroids is not recommended in women with RPL. There is insufficient evidence to recommend removing fibroids that distort the uterine cavity.</t>
  </si>
  <si>
    <t>865</t>
  </si>
  <si>
    <t>Clinicians are not recommended to routinely perform surgery prior to ART to improve live birth rates in women with rASRM stage I/II endometriosis, as the potential benefits are unclear.</t>
  </si>
  <si>
    <t>866</t>
  </si>
  <si>
    <t>eshre_unexplained_infertility_2023</t>
  </si>
  <si>
    <t>ESHRE Unexplained Infertility</t>
  </si>
  <si>
    <t>https://doi.org/10.1093/humrep/dead150</t>
  </si>
  <si>
    <t>IUI with ovarian stimulation is recommended as a first-line treatment for couples with unexplained infertility.</t>
  </si>
  <si>
    <t>867</t>
  </si>
  <si>
    <t>The GDG recommends that GnRH agonists are prescribed as second-line (e.g. if hormonal contraceptives or progestogens have been ineffective) due to their side effect profile.</t>
  </si>
  <si>
    <t>868</t>
  </si>
  <si>
    <t>Clinicians should be aware of endometriosis-associated complications in pregnancy, although these are rare. As these findings are based on low/moderate quality studies, these results should be interpr</t>
  </si>
  <si>
    <t>869</t>
  </si>
  <si>
    <t>The addition of oestradiol to progesterone for luteal phase support is probably not recommended.</t>
  </si>
  <si>
    <t>870</t>
  </si>
  <si>
    <t>The GDG recommends that adolescents with endometriosis are informed of the potential detrimental effect of ovarian endometriosis and surgery on ovarian reserve and future fertility.</t>
  </si>
  <si>
    <t>871</t>
  </si>
  <si>
    <t>Women with POI should be informed that there is a small chance of spontaneous pregnancy.</t>
  </si>
  <si>
    <t>872</t>
  </si>
  <si>
    <t>It is recommended to prescribe women a levonorgestrel-releasing intrauterine (LNG-IUS) system or an etonogestrel-releasing subdermal implant to reduce endometriosis-associated pain.</t>
  </si>
  <si>
    <t>873</t>
  </si>
  <si>
    <t>The GDG recommends that clinicians should inform and counsel women about any incidental finding of endometriosis.</t>
  </si>
  <si>
    <t>874</t>
  </si>
  <si>
    <t>Only eSET should be practised for patients undergoing ART with donated embryos.</t>
  </si>
  <si>
    <t>875</t>
  </si>
  <si>
    <t>A combined approach consisting of hysteroscopic tumour resection, followed by oral progestins and/or levonorgestrel-intra-uterine device, is the most effective fertility-sparing treatment both for com</t>
  </si>
  <si>
    <t>876</t>
  </si>
  <si>
    <t>Puberty should be induced or progressed with 17-beta estradiol, starting with a low dose at the age of 12 years with a gradual increase over 2-3 years.</t>
  </si>
  <si>
    <t>877</t>
  </si>
  <si>
    <t>For women with hereditary thrombophilia and a history of RPL, we suggest not to use antithrombotic prophylaxis unless in the context of research, or if indicated for venous thromboembolism (VTE) preve</t>
  </si>
  <si>
    <t>878</t>
  </si>
  <si>
    <t>The physician should counsel the individual unexpected low responder regarding pregnancy prospects and decide individually whether to continue this cycle.</t>
  </si>
  <si>
    <t>879</t>
  </si>
  <si>
    <t>Reduced BMD is very likely to indicate that POI is associated with an increased risk of fracture later in life, although this has not been adequately demonstrated.</t>
  </si>
  <si>
    <t>880</t>
  </si>
  <si>
    <t>esicm_acute_respiratory_distress_syndrome_ards_2023</t>
  </si>
  <si>
    <t>ESICM</t>
  </si>
  <si>
    <t>Critical Care Medicine</t>
  </si>
  <si>
    <t>ESICM guidelines on acute respiratory distress syndrome: definition, phenotyping and respiratory sup</t>
  </si>
  <si>
    <t>https://doi.org/10.1007/s00134-023-07050-7</t>
  </si>
  <si>
    <t>We suggest the use of CPAP over conventional oxygen therapy to reduce the risk of intubation in patients with acute hypoxemic respiratory failure due to COVID-19.</t>
  </si>
  <si>
    <t>low level of evidence in favor</t>
  </si>
  <si>
    <t>881</t>
  </si>
  <si>
    <t>We are unable to make a recommendation for or against PEEP titration guided principally by respiratory mechanics, compared to PEEP titration based principally on PEEP/FiO2 strategy, to reduce mortalit</t>
  </si>
  <si>
    <t>high level of evidence of no effect</t>
  </si>
  <si>
    <t>882</t>
  </si>
  <si>
    <t>esicm_resuscitation_fluid_choice_critically_ill_2024</t>
  </si>
  <si>
    <t>European Society of Intensive Care Medicine clinical practice guideline on fluid therapy in adult cr</t>
  </si>
  <si>
    <t>https://doi.org/10.1007/s00134-024-07369-9</t>
  </si>
  <si>
    <t>We suggest using crystalloids rather than albumin for volume expansion in critically ill patients in the perioperative period and patients with bleeding or at risk for bleeding.</t>
  </si>
  <si>
    <t>very low certainty of evidence</t>
  </si>
  <si>
    <t>883</t>
  </si>
  <si>
    <t>esicm_end_life_palliative_care_icu_2024</t>
  </si>
  <si>
    <t>European Society of Intensive Care Medicine guidelines on end of life and palliative care in the int</t>
  </si>
  <si>
    <t>https://doi.org/10.1007/s00134-024-07579-1</t>
  </si>
  <si>
    <t>Structured training programs should probably be implemented for ICU HCPs to enhance competencies in EoL communication.</t>
  </si>
  <si>
    <t>Low level of evidence</t>
  </si>
  <si>
    <t>884</t>
  </si>
  <si>
    <t>esmo_nsclc_early_2025</t>
  </si>
  <si>
    <t>ESMO</t>
  </si>
  <si>
    <t>Early and locally advanced non-small-cell lung cancer: ESMO Clinical Practice Guideline for diagnosi</t>
  </si>
  <si>
    <t>https://doi.org/10.1016/j.annonc.2025.08.003</t>
  </si>
  <si>
    <t>The sequence of PORT and adjuvant systemic therapy should be defined individually by an MDT [III, A]</t>
  </si>
  <si>
    <t>885</t>
  </si>
  <si>
    <t>esmo_leptomeningeal_metastasis_from_solid_tumours_eanoe</t>
  </si>
  <si>
    <t>Leptomeningeal metastasis from solid tumours: EANO–ESMO Clinical Practice Guideline for diagnosis, t</t>
  </si>
  <si>
    <t>https://doi.org/10.1016/j.esmoop.2023.101624</t>
  </si>
  <si>
    <t>Systemic pharmacotherapy based on the primary tumour and previous treatment should be considered for most patients with type B/C LM [EANO: IV, NA; ESMO: V, NA].</t>
  </si>
  <si>
    <t>886</t>
  </si>
  <si>
    <t>esmo_cutaneous_melanoma_comprehensive_2024</t>
  </si>
  <si>
    <t>ESMO Clinical Practice Guideline for Cutaneous Melanoma Diagnosis and Treatment</t>
  </si>
  <si>
    <t>https://doi.org/10.1016/j.annonc.2024.11.006</t>
  </si>
  <si>
    <t>For patients with T3b, T4a and T4b melanoma who qualify for adjuvant therapy, omitting SLNB can be discussed with the patient, but the potential benefits of SLNB in terms of staging and locoregional c</t>
  </si>
  <si>
    <t>887</t>
  </si>
  <si>
    <t>esmo_peripheral_t_and_natural_killercell_lymphomas_esmo</t>
  </si>
  <si>
    <t>Peripheral T‐ and natural killer‐cell lymphomas: ESMO‐EHA Clinical Practice Guideline for diagnosis,</t>
  </si>
  <si>
    <t>https://doi.org/10.1002/hem3.70128</t>
  </si>
  <si>
    <t>Testing for HTLV‐1 can be recommended in first‐degree relatives and partners of patients with ATLL (II, B)</t>
  </si>
  <si>
    <t>888</t>
  </si>
  <si>
    <t>Trials enrolling patients with LM should be dedicated to patients with LM, ideally newly diagnosed LM, or have a pre-planned arm or subgroup analysis for patients with LM with adequate assessment tool</t>
  </si>
  <si>
    <t>889</t>
  </si>
  <si>
    <t>esmo_salivary_gland_cancer_esmoeuropean_reference_netwo</t>
  </si>
  <si>
    <t>Salivary gland cancer: ESMO–European Reference Network on Rare Adult Solid Cancers (EURACAN) Clinica</t>
  </si>
  <si>
    <t>https://doi.org/10.1016/j.esmoop.2022.100602</t>
  </si>
  <si>
    <t>In case of activatedmutation, participation in a NOTCH inhibitor clinical study is recommended, if possible</t>
  </si>
  <si>
    <t>890</t>
  </si>
  <si>
    <t>esmo_cancer_cachexia_in_adult_patients_esmo_clinical_pr</t>
  </si>
  <si>
    <t>Cancer cachexia in adult patients: ESMO Clinical Practice Guidelines</t>
  </si>
  <si>
    <t>https://doi.org/10.1016/j.esmoop.2021.100092</t>
  </si>
  <si>
    <t>In patients with an expected survival of less than a few weeks, comfort-directed care is the recommended approach, including alleviating thirst, eating-related distress and other debilitating symptoms</t>
  </si>
  <si>
    <t>891</t>
  </si>
  <si>
    <t>esmo_penile_cancer_esmoeuracan_clinical_practice_guidel</t>
  </si>
  <si>
    <t>Penile cancer: ESMO–EURACAN Clinical Practice Guideline for diagnosis, treatment and follow-up☆</t>
  </si>
  <si>
    <t>https://doi.org/10.1016/j.esmoop.2024.103481</t>
  </si>
  <si>
    <t>Pathological assessment should include HPV status, histological grade and tumour type</t>
  </si>
  <si>
    <t>892</t>
  </si>
  <si>
    <t>SLNB is not usually recommended but can be discussed in pT1a for special cases (e.g. 3 mitoses/mm2, a positive deep margin or when Breslow thickness cannot be reliably determined)</t>
  </si>
  <si>
    <t>893</t>
  </si>
  <si>
    <t>Follow-up may include the use of MRI for locoregional recurrence and chest CT for lung metastases</t>
  </si>
  <si>
    <t>894</t>
  </si>
  <si>
    <t>esmo_communication_and_support_of_patients_and_caregive</t>
  </si>
  <si>
    <t xml:space="preserve">Communication and support of patients and caregivers in chronic cancer care: ESMO Clinical Practice </t>
  </si>
  <si>
    <t>https://doi.org/10.1016/j.esmoop.2024.103496</t>
  </si>
  <si>
    <t>Clinicians should respect patients’ spirituality and avoid imposing their own on patients</t>
  </si>
  <si>
    <t>895</t>
  </si>
  <si>
    <t>MRI scans are the best imaging tool for locoregional recurrent disease</t>
  </si>
  <si>
    <t>896</t>
  </si>
  <si>
    <t>esmo_panasia_adapted_esmo_clinical_practice_guideline_f</t>
  </si>
  <si>
    <t>Pan-Asia adapted ESMO Clinical Practice Guideline for the management of patients with newly diagnose</t>
  </si>
  <si>
    <t>https://doi.org/10.1016/j.esmoop.2025.105125</t>
  </si>
  <si>
    <t>3A. Surgical staging is recommended in presumed early-stage ovarian cancer for classification and recommendation of optimal systemic therapy</t>
  </si>
  <si>
    <t>897</t>
  </si>
  <si>
    <t>BRAFi/MEKi (if &gt;3 months after stopping adjuvant BRAFi/MEKi) can be offered for BRAF-mutated melanoma patients with contraindication to ICI who relapsed on/within 6 months of adjuvant BRAFi-MEKi</t>
  </si>
  <si>
    <t>898</t>
  </si>
  <si>
    <t>of use; OA articles are governed by the applicable Creative Commons License cisplatin (DHAP), dexamethasone–cytarabine–oxaliplatin (DHAX), and CHOEP (IV, C)</t>
  </si>
  <si>
    <t>899</t>
  </si>
  <si>
    <t>Step-by-step pairing of bad news with a positive message where appropriate, or with information about treatment or care, can also help patients maintain hope</t>
  </si>
  <si>
    <t>900</t>
  </si>
  <si>
    <t>If expected survival is less than a few (i.e. 3-6) weeks, focussing on anti-cachexia interventions aimed at alleviating distressing symptoms like thirst, nausea, vomiting and dysphagia, and psychologi</t>
  </si>
  <si>
    <t>901</t>
  </si>
  <si>
    <t>esmo_human_immunodeficiency_virusassociated_lymphomas_e</t>
  </si>
  <si>
    <t>Human immunodeficiency virus‐associated Lymphomas: EHA–ESMO Clinical Practice Guideline for diagnosi</t>
  </si>
  <si>
    <t>https://doi.org/10.1002/hem3.150</t>
  </si>
  <si>
    <t>Consolidation with ASCT may be considered in suitable patients with advanced disease</t>
  </si>
  <si>
    <t>902</t>
  </si>
  <si>
    <t>Teachers of communication training, clinical supervisors and clinicians should pay special attention to factors related to the individual clinician and patient which shape communication needs and solu</t>
  </si>
  <si>
    <t>903</t>
  </si>
  <si>
    <t>esmo_seom_clinical_practice_guideline_management_and_pr</t>
  </si>
  <si>
    <t>SEOM clinical practice guideline: management and prevention of febrile neutropenia in adults with so</t>
  </si>
  <si>
    <t>https://doi.org/10.1007/s12094-018-1983-4</t>
  </si>
  <si>
    <t>In patients undergoing mild–moderate-intensity chemotherapy, antibiotic prophylaxis for FN may considered in exceptional cases with very high risk of infection</t>
  </si>
  <si>
    <t>904</t>
  </si>
  <si>
    <t>To maintain nutritional status, at least 25-30 kcal/kg BW/day is recommended, adjusting the regimen as required.</t>
  </si>
  <si>
    <t>905</t>
  </si>
  <si>
    <t>esmo_primary_central_nervous_system_lymphomas_ehaesmo_c</t>
  </si>
  <si>
    <t>Primary central nervous system lymphomas: EHA–ESMO Clinical Practice Guideline for diagnosis, treatm</t>
  </si>
  <si>
    <t>https://doi.org/10.1002/hem3.89</t>
  </si>
  <si>
    <t>Tissue samples should be collected by stereotactic biopsy in patients with brain lesions</t>
  </si>
  <si>
    <t>906</t>
  </si>
  <si>
    <t>esmo_insomnia_in_adult_patients_with_cancer_esmo_clinic</t>
  </si>
  <si>
    <t>Insomnia in adult patients with cancer: ESMO Clinical Practice Guideline☆</t>
  </si>
  <si>
    <t>https://doi.org/10.1016/j.esmoop.2023.102047</t>
  </si>
  <si>
    <t>While currently available evidence is moderate, the general benefits of physical exercise suggest that exercise tailored to the patient's abilities and needs should be offered as a stand-alone or supp</t>
  </si>
  <si>
    <t>907</t>
  </si>
  <si>
    <t>esmo_neuroendocrine_neoplasms_of_head_and_neck_genitour</t>
  </si>
  <si>
    <t>Neuroendocrine neoplasms of head and neck, genitourinary and gynaecological systems, unknown primari</t>
  </si>
  <si>
    <t>https://doi.org/10.1016/j.esmoop.2024.103664</t>
  </si>
  <si>
    <t>For progressive G1-2 UKP-, GUGy- and HN-NETs, alkylating agent-based ChT (dacarbazine, temozolomide or streptozocin combined with 5-FU or capecitabine) or oxaliplatin-based ChT (oxaliplatin combined w</t>
  </si>
  <si>
    <t>908</t>
  </si>
  <si>
    <t>Diagnostic work-up should follow recommendations for patients who are HIV-negative and those necessary to assess the severity and complications of HIV</t>
  </si>
  <si>
    <t>909</t>
  </si>
  <si>
    <t>esmo_seom_gemcad_ttd_clinical_guidelines_for_anal_cance</t>
  </si>
  <si>
    <t>SEOM–GEMCAD–TTD clinical guidelines for anal cancer (2025)</t>
  </si>
  <si>
    <t>https://doi.org/10.1007/s12094-025-04163-x</t>
  </si>
  <si>
    <t>Carboplatin, doxorubicin, taxanes, and irinotecan +/- cetuximab or combinations have demonstrated some activity in refractory disease</t>
  </si>
  <si>
    <t>910</t>
  </si>
  <si>
    <t>esmo_sinonasal_malignancy_esmoeuracan_clinical_practice</t>
  </si>
  <si>
    <t>Sinonasal malignancy: ESMO–EURACAN Clinical Practice Guideline for diagnosis, treatment and follow-u</t>
  </si>
  <si>
    <t>https://doi.org/10.1016/j.esmoop.2024.104121</t>
  </si>
  <si>
    <t>PET–CT would be best reserved for malignancies with a higher likelihood of distant metastatic spread and in cases of inconsistent local findings, rather than routine surveillance.</t>
  </si>
  <si>
    <t>911</t>
  </si>
  <si>
    <t>Detection of HHV-8 and EBV using IHC, in situ hybridisation or quantitative PCR should be carried out on all specimens from patients with a suspected diagnosis of HIV-PEL</t>
  </si>
  <si>
    <t>912</t>
  </si>
  <si>
    <t xml:space="preserve">If available, PET–CT at diagnosis, interim (optional) and at EOT can be considered the preferred imaging modality for all nodal and extranodal (non‐leukemic) PTCLs (I, B). If PET–CT is not available, </t>
  </si>
  <si>
    <t>913</t>
  </si>
  <si>
    <t>In the relapse setting, salvage therapy (DHAP, ESHAP, ICE or GDP) plus rituximab if CD20 positive for PEL</t>
  </si>
  <si>
    <t>914</t>
  </si>
  <si>
    <t>esmo_prognostic_evaluation_in_patients_with_advanced_ca</t>
  </si>
  <si>
    <t>Prognostic evaluation in patients with advanced cancer in the last months of life: ESMO Clinical Pra</t>
  </si>
  <si>
    <t>https://doi.org/10.1016/j.esmoop.2023.101195</t>
  </si>
  <si>
    <t>Clinicians might aim to identify, acknowledge and name emotions in response to patients' verbal and non-verbal cues</t>
  </si>
  <si>
    <t>915</t>
  </si>
  <si>
    <t>esmo_care_of_the_adult_cancer_patient_at_the_end_of_lif</t>
  </si>
  <si>
    <t>Care of the adult cancer patient at the end of life: ESMO Clinical Practice Guidelines☆</t>
  </si>
  <si>
    <t>https://doi.org/10.1016/j.esmoop.2021.100225</t>
  </si>
  <si>
    <t>There is limited evidence to guide antiemetic use of cyclizine or 5-HT3 receptor antagonists</t>
  </si>
  <si>
    <t>916</t>
  </si>
  <si>
    <t>Cachexia treatment requires a multimodal approach aimed at relieving symptoms impacting on food intake, ensuring adequate energy and nutrient intake, minimising catabolic alterations, supporting muscl</t>
  </si>
  <si>
    <t>917</t>
  </si>
  <si>
    <t>5H. Patients with relapsed EOC for whom platinum is not an option should be defined by: proven resistance (progression during platinum); expected resistance (early symptomatic progression post-platinu</t>
  </si>
  <si>
    <t>II-IV</t>
  </si>
  <si>
    <t>0.4</t>
  </si>
  <si>
    <t>918</t>
  </si>
  <si>
    <t>Clinicians should understand the communicative functions of patients’ emotions</t>
  </si>
  <si>
    <t>919</t>
  </si>
  <si>
    <t>Second-line treatment options include BRAFi-MEKi combination therapy for patients with BRAF-mutated melanoma</t>
  </si>
  <si>
    <t>920</t>
  </si>
  <si>
    <t>Close monitoring using MRI is recommended so that SRS can be added when indicated for MBMs</t>
  </si>
  <si>
    <t>921</t>
  </si>
  <si>
    <t>Due to the frequent involvement of the BM in HSTCL, response assessment via PET–CT should be corroborated by BM biopsy and, if possible, liver biopsy, since diffuse intrahepatic tumor cell in- filtrat</t>
  </si>
  <si>
    <t>922</t>
  </si>
  <si>
    <t>esmo_seom_geico_clinical_guidelines_on_endometrial_canc</t>
  </si>
  <si>
    <t>SEOM-GEICO clinical guidelines on endometrial cancer (2025)</t>
  </si>
  <si>
    <t>https://doi.org/10.1007/s12094-025-04046-1</t>
  </si>
  <si>
    <t>In asymptomatic women with incidental findings, a higher threshold of up to 8 mm may be acceptable, and invasive testing may be withheld in cases of ET between 3 and 8 mm</t>
  </si>
  <si>
    <t>923</t>
  </si>
  <si>
    <t>Oral capecitabine (825 mg/m2 BID on RT days, 5 days per week) can be used as an alternative to 5-FU</t>
  </si>
  <si>
    <t>924</t>
  </si>
  <si>
    <t>Follow‐up can be discontinued after 3 years in non‐transplanted asymptomatic patients (III, B)</t>
  </si>
  <si>
    <t>925</t>
  </si>
  <si>
    <t>Assessment of response to treatment should follow modalities and timing proposed by the IPCG criteria</t>
  </si>
  <si>
    <t>926</t>
  </si>
  <si>
    <t>5L. Bevacizumab should be recommended in combination with weekly paclitaxel, PLD or topotecan in patients without contraindications to bevacizumab and not previously exposed to bevacizumab</t>
  </si>
  <si>
    <t>927</t>
  </si>
  <si>
    <t>Invasion of the corpora cavernosa warrants partial or total penectomy</t>
  </si>
  <si>
    <t>928</t>
  </si>
  <si>
    <t>Staging with FDG-PET-CT provides higher sensitivity than contrast-enhanced CT</t>
  </si>
  <si>
    <t>929</t>
  </si>
  <si>
    <t>A multiagent, anthracycline‐free, L‐asparaginase‐containing regi- men can be recommended for patients with stages III and IV nasal disease or stages I–IV extranasal disease (e.g., DDGP or mSMILE for H</t>
  </si>
  <si>
    <t>930</t>
  </si>
  <si>
    <t>If intensive salvage is not feasible, bortezomib is an antimyeloma agent option for PBL</t>
  </si>
  <si>
    <t>931</t>
  </si>
  <si>
    <t>Removal of the contralateral implant is recommended, particularly if textured (III, A)</t>
  </si>
  <si>
    <t>932</t>
  </si>
  <si>
    <t>Pathological diagnosis should be carried out by a trained pathologist at a high-volume institution, especially for poorly differentiated and high-grade tumours.</t>
  </si>
  <si>
    <t>933</t>
  </si>
  <si>
    <t>Carboplatin-paclitaxel is currently the optimal approved regimen for advanced or metastatic anal carcinoma</t>
  </si>
  <si>
    <t>934</t>
  </si>
  <si>
    <t>ctDNA detection or clearance after curative-intent treatment is not recommended to guide treatment escalation or de-escalation outside of clinical trials [IV, E]</t>
  </si>
  <si>
    <t>935</t>
  </si>
  <si>
    <t>Follow‐up can be discontinued after 3 years in non‐transplanted asymptomatic patients (III, B) and after 5 years in asymptomatic patients who have received auto‐HSCT (III, B), if the patient is consid</t>
  </si>
  <si>
    <t>936</t>
  </si>
  <si>
    <t>esmo_esmo_clinical_practice_guideline_express_update_on</t>
  </si>
  <si>
    <t>ESMO Clinical Practice Guideline Express Update on the adoption of physical exercise in patients wit</t>
  </si>
  <si>
    <t>https://doi.org/10.1016/j.esmoop.2025.106019</t>
  </si>
  <si>
    <t>Health care professionals should also investigate the patient’s medical profile, preferences and attitudes, as well as potential challenges for implementation of the exercise programme, including adhe</t>
  </si>
  <si>
    <t>937</t>
  </si>
  <si>
    <t>Treatment for patients with HIV-SCNSL can be similar to that used for the HIV-negative population and the MARIETTA approach or CAR-T therapy should be considered</t>
  </si>
  <si>
    <t>938</t>
  </si>
  <si>
    <t>esmo_merkelcell_carcinoma_esmoeuracan_clinical_practice</t>
  </si>
  <si>
    <t>Merkel-cell carcinoma: ESMO–EURACAN Clinical Practice Guideline for diagnosis, treatment and follow-</t>
  </si>
  <si>
    <t>https://doi.org/10.1016/j.esmoop.2024.102977</t>
  </si>
  <si>
    <t>The role of MCPyV oncoprotein antibody testing is uncertain, but it may be utilised in patients who are seropositive at baseline</t>
  </si>
  <si>
    <t>939</t>
  </si>
  <si>
    <t>ITC should be suspected in the presence of a cold nodule in the lower lobes of the thyroid gland with a cytological diagnosis of poorly differentiated carcinoma</t>
  </si>
  <si>
    <t>940</t>
  </si>
  <si>
    <t>In case of R/M disease, consider sequencing (NGS) of the tumour</t>
  </si>
  <si>
    <t>941</t>
  </si>
  <si>
    <t>eso_blood_pressure_acute_ischaemic_stroke_2026</t>
  </si>
  <si>
    <t>ESO</t>
  </si>
  <si>
    <t>2025 update to European Stroke Organisation (ESO) guideline on blood pressure management in acute is</t>
  </si>
  <si>
    <t>https://doi.org/10.1093/esj/aakag004</t>
  </si>
  <si>
    <t>In patients with acute ICH who need blood pressure-lowering therapy to maintain blood pressure within the recommended range and who do not have swallowing problems, we suggest continuation of prior or</t>
  </si>
  <si>
    <t>Expert consensus statement</t>
  </si>
  <si>
    <t>942</t>
  </si>
  <si>
    <t>eso_secondary_prevention_after_ischaemic_stroke_2022</t>
  </si>
  <si>
    <t>European Stroke Organisation (ESO) guideline on pharmacological interventions for long-term secondar</t>
  </si>
  <si>
    <t>https://doi.org/10.1177/23969873221100032</t>
  </si>
  <si>
    <t>In people with previous ischaemic stroke or TIA, we suggest aiming for a blood pressure target of &lt;130/80 mmHg to reduce the risk of recurrent stroke.</t>
  </si>
  <si>
    <t>943</t>
  </si>
  <si>
    <t>In people with ischaemic stroke or TIA, who have insulin resistance or type 2 diabetes mellitus, we suggest pioglitazone be used to reduce risk of recurrent stroke.</t>
  </si>
  <si>
    <t>944</t>
  </si>
  <si>
    <t>espen_espen_espen_guideline_clinical_nutrition_in_neurol</t>
  </si>
  <si>
    <t>ESPEN</t>
  </si>
  <si>
    <t>ESPEN Guideline Clinical Nutrition In Neurology</t>
  </si>
  <si>
    <t>https://doi.org/10.1016/j.clnu.2017.09.003</t>
  </si>
  <si>
    <t>At diagnosis, a complete nutritional assessment is recommended in ALS patients, including Body Mass Index (BMI), Table 1 Example of the search strategy. Clinical Question 35. Does tube feeding compare</t>
  </si>
  <si>
    <t>945</t>
  </si>
  <si>
    <t>espen_surgery_2025</t>
  </si>
  <si>
    <t>Clinical Nutrition in Surgery (Update 2025)</t>
  </si>
  <si>
    <t>https://doi.org/10.1016/j.clnu.2025.08.029</t>
  </si>
  <si>
    <t>As part of the follow-up after organ transplantation, the nutritional status should be regularly monitored. Nutritional counseling should be offered for these patients.</t>
  </si>
  <si>
    <t>946</t>
  </si>
  <si>
    <t>There is insufficient evidence to recommend vitamin D therapy in MS patients.</t>
  </si>
  <si>
    <t>947</t>
  </si>
  <si>
    <t>Patients who are malnourished or at risk of malnutrition should receive medical nutrition therapy through an individual nutrition care plan.</t>
  </si>
  <si>
    <t>948</t>
  </si>
  <si>
    <t>A formalized screening for dysphagia should be performed in all stroke patients as early as possible and before oral intake.</t>
  </si>
  <si>
    <t>949</t>
  </si>
  <si>
    <t>espen_ESPEN_guidelines_on_nutrition_in_cancer_patients</t>
  </si>
  <si>
    <t>ESPEN Guidelines On Nutrition In Cancer Patients</t>
  </si>
  <si>
    <t>https://doi.org/10.1016/j.clnu.2016.07.015</t>
  </si>
  <si>
    <t>Non-steroidal anti-inflammatory drugs: We suggest the use of NSAID supplements in cancer patients with advanced disease who are losing weight, when appropriate.</t>
  </si>
  <si>
    <t>950</t>
  </si>
  <si>
    <t>espen_ESPEN_guideline-on-clinical-nutrition-in-the-intensive-care-unit</t>
  </si>
  <si>
    <t>ESPEN Guideline-On-Clinical-Nutrition-In-The-Intensive-Care-Unit</t>
  </si>
  <si>
    <t>https://doi.org/10.1016/j.clnu.2018.08.037</t>
  </si>
  <si>
    <t>If oral intake is not possible, early EN (within 48 h) shall be performed/initiated in critically ill adult patients rather than early PN.</t>
  </si>
  <si>
    <t>951</t>
  </si>
  <si>
    <t>During critical illness, 1.3 g/kg protein equivalents per day can be delivered progressively.</t>
  </si>
  <si>
    <t>0</t>
  </si>
  <si>
    <t>952</t>
  </si>
  <si>
    <t>If indirect calorimetry is used, isocaloric nutrition rather than hypocaloric nutrition can be progressively implemented after the early phase of acute illness.</t>
  </si>
  <si>
    <t>953</t>
  </si>
  <si>
    <t>If enteral nutrition is inadequate before or after organ transplantation, supplemental parenteral nutrition should be provided (BM).</t>
  </si>
  <si>
    <t>954</t>
  </si>
  <si>
    <t>Blood glucose should be measured initially (after ICU admission or after artificial nutrition initiation) and at least every 4 h, for the first two days in general.</t>
  </si>
  <si>
    <t>955</t>
  </si>
  <si>
    <t>espen_espen_espen_guideline_on_hospital_nutrition</t>
  </si>
  <si>
    <t>Nutrition</t>
  </si>
  <si>
    <t>ESPEN Guideline On Hospital Nutrition</t>
  </si>
  <si>
    <t>https://doi.org/10.1016/j.clnu.2021.09.039</t>
  </si>
  <si>
    <t>The proportions of carbohydrates, lipids, and protein over the total daily energy intake should be 50e60%, 30e35%, and 15e20% for the standard diet, and 45e50%, 35e40%, and 20% for the hos- pital diet</t>
  </si>
  <si>
    <t>956</t>
  </si>
  <si>
    <t>Small meals five to six times per day may help patients to tolerate oral feeding and achieve nutritional goals faster during the early phase of recovery after surgery.</t>
  </si>
  <si>
    <t>957</t>
  </si>
  <si>
    <t>In ICU patients except burn and trauma patients, additional enteral GLN should not be administered.</t>
  </si>
  <si>
    <t>958</t>
  </si>
  <si>
    <t>espghannas_helicobacter_pylori_infection_children_adolescents_2024</t>
  </si>
  <si>
    <t>ESPGHAN/NASPGHAN</t>
  </si>
  <si>
    <t>Updated joint ESPGHAN/NASPGHAN guidelines for management of Helicobacter pylori infection in childre</t>
  </si>
  <si>
    <t>https://doi.org/10.1002/jpn3.12314</t>
  </si>
  <si>
    <t>We recommend that the diagnosis of H. pylori infection should be gastric biopsy-based using the following tests: (a) culture or molecular tests and (b) histopathology according to Sydney system.</t>
  </si>
  <si>
    <t>high</t>
  </si>
  <si>
    <t>959</t>
  </si>
  <si>
    <t>espghannas_pediatric_non_eoe_eosinophilic_gastrointestinal_2024</t>
  </si>
  <si>
    <t>Joint ESPGHAN/NASPGHAN Guidelines on Childhood Eosinophilic Gastrointestinal Disorders Beyond Eosino</t>
  </si>
  <si>
    <t>https://doi.org/10.1097/MPG.0000000000003877</t>
  </si>
  <si>
    <t>We conditionally recommend that blood tests not be used to make the diagnosis of non-EoE EGIDs but may be useful to monitor treatment responses in selected cases.</t>
  </si>
  <si>
    <t>Not graded (SoR only)</t>
  </si>
  <si>
    <t>960</t>
  </si>
  <si>
    <t>Differential diagnosis of eosinophilic inflammation of the GI tract occurring as segmental disease or as part of more diffuse involvement of the GI tract, includes a wide range of conditions.</t>
  </si>
  <si>
    <t>961</t>
  </si>
  <si>
    <t>There is insufficient data on which foods should be eliminated, but case series suggest that avoidance of cow's milk may be effective in some children.</t>
  </si>
  <si>
    <t>962</t>
  </si>
  <si>
    <t>We conditionally recommend that when clinically known, subclassification of the different layers of the GI tract should be also described as mucosal, muscular or serosal.</t>
  </si>
  <si>
    <t>963</t>
  </si>
  <si>
    <t>Peripheral eosinophilia may occur in patients with non-EoE EGIDs but is neither a specific nor a sensitive indicator for non-EoE EGIDs.</t>
  </si>
  <si>
    <t>964</t>
  </si>
  <si>
    <t>We recommend that the outcome of anti-H. pylori therapy be assessed 6-8 weeks after completion of therapy.</t>
  </si>
  <si>
    <t>965</t>
  </si>
  <si>
    <t>espid_complicated_urinary_tract_infection_children_2025</t>
  </si>
  <si>
    <t>ESPID</t>
  </si>
  <si>
    <t>Guidelines for Complicated Urinary Tract Infections in Children: A Review by the European Society fo</t>
  </si>
  <si>
    <t>https://doi.org/10.1097/INF.0000000000004790</t>
  </si>
  <si>
    <t>In neonates, amoxicillin is the drug of choice, while older children are recommended to use trimethoprim-sulfamethoxazole or nitrofurantoin.</t>
  </si>
  <si>
    <t>GRADE D</t>
  </si>
  <si>
    <t>966</t>
  </si>
  <si>
    <t>Additional supportive management depends on the cUTI subgroup and complicating features. This may involve antiemetics, fluid resuscitation and management and occasionally intensive care support. There</t>
  </si>
  <si>
    <t>967</t>
  </si>
  <si>
    <t>espid_pediatric_bone_joint_infections_2017</t>
  </si>
  <si>
    <t>ESPID Clinical Practice Guideline: Bone and Joint Infections</t>
  </si>
  <si>
    <t>https://doi.org/10.1097/INF.0000000000001635</t>
  </si>
  <si>
    <t>First-generation cephalosporins, anti-staphylococcal penicillins (ASPs) and clindamycin are the antibiotics most studied in BJI in children.</t>
  </si>
  <si>
    <t>IIA</t>
  </si>
  <si>
    <t>968</t>
  </si>
  <si>
    <t>eta_genetic_disorders_thyroid_hormone_transport_2024</t>
  </si>
  <si>
    <t>ETA</t>
  </si>
  <si>
    <t>2024 European Thyroid Association Guidelines on diagnosis and management of genetic disorders of thy</t>
  </si>
  <si>
    <t>https://doi.org/10.1530/ETJ-24-0125</t>
  </si>
  <si>
    <t>There are no other reported clinical or biochemical manifestations, but the loss of D1 function can alter the thyroid tests associated with other thyroid defects.</t>
  </si>
  <si>
    <t>ØOOO</t>
  </si>
  <si>
    <t>969</t>
  </si>
  <si>
    <t>In levothyroxine treatment of hypothyroidism (autoimmune or congenital) with coexisting RTHβ, we recommend that levothyroxine therapy be titrated to achieve FT4 concentrations comparable to other fami</t>
  </si>
  <si>
    <t>970</t>
  </si>
  <si>
    <t>eta_thyroid_nodule_2023</t>
  </si>
  <si>
    <t>2023 European Thyroid Association Clinical Practice Guidelines for thyroid nodule management</t>
  </si>
  <si>
    <t>https://doi.org/10.1530/ETJ-23-0067</t>
  </si>
  <si>
    <t>Molecular testing may be considered in cytologically indeterminate nodules, if available.</t>
  </si>
  <si>
    <t>971</t>
  </si>
  <si>
    <t>Thyroid hormone treatment is not indicated in euthyroid individuals with nodular thyroid disease.</t>
  </si>
  <si>
    <t>972</t>
  </si>
  <si>
    <t>If thyroid hormone analogs are unavailable, we suggest that a combination of levothyroxine and PTU treatment could be considered.</t>
  </si>
  <si>
    <t>973</t>
  </si>
  <si>
    <t>We do not recommend selenium supplementation in SECISBP2 deficiency.</t>
  </si>
  <si>
    <t>974</t>
  </si>
  <si>
    <t>eular_2018_eular_recommendations_for_physical_activity_in_people_w</t>
  </si>
  <si>
    <t>EULAR</t>
  </si>
  <si>
    <t>2018 EULAR recommendations for physical activity in people with inflammatory arthritis and osteoarth</t>
  </si>
  <si>
    <t>https://doi.org/10.1136/annrheumdis-2018-213585</t>
  </si>
  <si>
    <t>Where individual adaptations to general PA recommendations are needed, these should be based on a comprehensive assessment of physical, social and psychological factors including fatigue, pain, depres</t>
  </si>
  <si>
    <t>975</t>
  </si>
  <si>
    <t>eular_2023_eular_recommendations_on_imaging_in_diagnosis</t>
  </si>
  <si>
    <t>2023 EULAR recommendations on imaging in diagnosis and management of crystal-induced arthropathies i</t>
  </si>
  <si>
    <t>https://doi.org/10.1136/ard-2023-224771</t>
  </si>
  <si>
    <t>When performing imaging in CiAs, both symptomatic areas and disease-specific target sites (ie, first metatarsophalangeal in gout, knee and wrist in CPPD, shoulder in BCPD) should be considered.</t>
  </si>
  <si>
    <t>1a</t>
  </si>
  <si>
    <t>976</t>
  </si>
  <si>
    <t>EULAR_gout_2016</t>
  </si>
  <si>
    <t>2016 updated EULAR evidence-based recommendations for the management of gout</t>
  </si>
  <si>
    <t>https://doi.org/10.1136/annrheumdis-2016-209707</t>
  </si>
  <si>
    <t>All ULTs should be started at a low dose and then titrated upwards until the SUA target is reached. SUA &lt;6 mg/dL (360 mmol/L) should be maintained lifelong.</t>
  </si>
  <si>
    <t>977</t>
  </si>
  <si>
    <t>pmc_8761998</t>
  </si>
  <si>
    <t>EULAR points to consider for the management of difficult-to-treat rheumatoid arthritis</t>
  </si>
  <si>
    <t>https://doi.org/10.1136/annrheumdis-2021-220973</t>
  </si>
  <si>
    <t>Appropriate education and support should be offered to patients to directly inform their choices of treatment goals and management.</t>
  </si>
  <si>
    <t>978</t>
  </si>
  <si>
    <t>EULAR_sjogrens_2019</t>
  </si>
  <si>
    <t>EULAR recommendations for the management of Sjögren's syndrome with topical and systemic therapies</t>
  </si>
  <si>
    <t>https://doi.org/10.1136/annrheumdis-2019-216114</t>
  </si>
  <si>
    <t>B-cell targeted therapies may be considered in patients with severe, refractory systemic disease.</t>
  </si>
  <si>
    <t>1b</t>
  </si>
  <si>
    <t>979</t>
  </si>
  <si>
    <t>Where there is a doubt on the presence of inflammatory activity based on clinical assessment and composite indices, US may be considered for this evaluation.</t>
  </si>
  <si>
    <t>980</t>
  </si>
  <si>
    <t>pmc_11672000</t>
  </si>
  <si>
    <t xml:space="preserve">EULAR/PReS recommendations for the diagnosis and management of Still’s disease, comprising systemic </t>
  </si>
  <si>
    <t>https://doi.org/10.1136/ard-2024-225851</t>
  </si>
  <si>
    <t>MAS treatment must include high dose glucocorticoids. In addition, treatments including anakinra, ciclosporin and/or IFNγ inhibitors should be considered as part of initial therapy.</t>
  </si>
  <si>
    <t>2b</t>
  </si>
  <si>
    <t>981</t>
  </si>
  <si>
    <t>pmc_11759048</t>
  </si>
  <si>
    <t>Endocrine Society</t>
  </si>
  <si>
    <t>Clinical practice guidelines for the care of girls and women with Turner
syndrome</t>
  </si>
  <si>
    <t>https://doi.org/10.1093/ejendo/lvae050</t>
  </si>
  <si>
    <t>We suggest that individuals with TS and their caregivers be encouraged to network with local/regional/national TS peer support organizations.</t>
  </si>
  <si>
    <t>982</t>
  </si>
  <si>
    <t>ENDOCRINE_primary_hyperaldosteronism_2016</t>
  </si>
  <si>
    <t>The Management of Primary Aldosteronism: Case Detection, Diagnosis, and Treatment</t>
  </si>
  <si>
    <t>https://doi.org/10.1210/jc.2015-4061</t>
  </si>
  <si>
    <t>Younger patients (&lt;age 35 years) with spontaneous hypokalemia, marked aldosterone excess, and unilateral adrenal lesions with radiological features consistent with a cortical adenoma on adrenal CT sca</t>
  </si>
  <si>
    <t>2∣⊕○○○</t>
  </si>
  <si>
    <t>983</t>
  </si>
  <si>
    <t>endocrine_transgender_health_2017</t>
  </si>
  <si>
    <t>Endocrine Treatment of Gender-Dysphoric/Gender-Incongruent Persons: An Endocrine Society Clinical Pr</t>
  </si>
  <si>
    <t>https://doi.org/10.1210/jc.2017-01658</t>
  </si>
  <si>
    <t xml:space="preserve">We suggest that clinicians determine the timing of breast surgery for transgender males based upon the physical and mental health status of the individual. There is insufficient evidence to recommend </t>
  </si>
  <si>
    <t>984</t>
  </si>
  <si>
    <t>endocrine_cushings_syndrome_diagnosis_2008</t>
  </si>
  <si>
    <t>The Diagnosis of Cushing's Syndrome: An Endocrine Society Clinical Practice Guideline</t>
  </si>
  <si>
    <t>2008</t>
  </si>
  <si>
    <t>https://doi.org/10.1210/jc.2008-0125</t>
  </si>
  <si>
    <t>For the initial testing for Cushing's syndrome, we recommend one of the following tests based on its suitability for a given patient: urine free cortisol (at least two measurements), late-night saliva</t>
  </si>
  <si>
    <t>985</t>
  </si>
  <si>
    <t>endocrine_congenital_adrenal_hyperplasia_2018</t>
  </si>
  <si>
    <t>Congenital Adrenal Hyperplasia Due to Steroid 21-Hydroxylase Deficiency: An Endocrine Society Clinic</t>
  </si>
  <si>
    <t>https://doi.org/10.1210/jc.2018-01865</t>
  </si>
  <si>
    <t>In previously treated patients with nonclassic congenital adrenal hyperplasia we suggest giving the option of discontinuing therapy when adult height is attained or other symptoms resolve.</t>
  </si>
  <si>
    <t>986</t>
  </si>
  <si>
    <t>Renal failure: We suggest using the 1-mg overnight DST rather than UFC for initial testing for Cushing's syndrome in patients with severe renal failure.</t>
  </si>
  <si>
    <t>987</t>
  </si>
  <si>
    <t>ENDOCRINE_adrenal_insufficiency_2016</t>
  </si>
  <si>
    <t>Diagnosis and Treatment of Primary Adrenal Insufficiency: An Endocrine Society Clinical Practice Gui</t>
  </si>
  <si>
    <t>https://doi.org/10.1210/jc.2015-1710</t>
  </si>
  <si>
    <t>If a corticotropin stimulation test is not feasible, we suggest using a morning cortisol &lt; 140 nmol/L (5 ug/dL) in combination with ACTH as a preliminary test suggestive of adrenal insufficiency.</t>
  </si>
  <si>
    <t>988</t>
  </si>
  <si>
    <t>We recommend that individuals with severe subaortic or aortic valve stenosis or significant valve disease and reduced cardiac function should be advised against pregnancy.</t>
  </si>
  <si>
    <t>989</t>
  </si>
  <si>
    <t>We recommend measuring luteinizing hormone (LH), follicle stimulating hormone (FSH) and anti-Müllerian hormone (AMH) at 8-9 years and yearly until 11-12 years to enable timely referral for fertility p</t>
  </si>
  <si>
    <t>990</t>
  </si>
  <si>
    <t>endocrine_acromegaly_2014</t>
  </si>
  <si>
    <t>Acromegaly: An Endocrine Society Clinical Practice Guideline</t>
  </si>
  <si>
    <t>https://doi.org/10.1210/jc.2014-2700</t>
  </si>
  <si>
    <t>We recommend performing an imaging study to visualize tumor size and appearance, as well as parasellar extent (1|⊕⊕⊕⊕).</t>
  </si>
  <si>
    <t>991</t>
  </si>
  <si>
    <t>In all individuals with classic congenital adrenal hyperplasia, we recommend monitoring for signs of glucocorticoid excess, as well as for signs of inadequate androgen normalization, to optimize the a</t>
  </si>
  <si>
    <t>992</t>
  </si>
  <si>
    <t>In all patients with congenital adrenal hyperplasia who require glucocorticoid treatment, for situations such as febrile illness (&gt;38.5 degrees C), gastroenteritis with dehydration, major surgery acco</t>
  </si>
  <si>
    <t>993</t>
  </si>
  <si>
    <t>In patients with congenital adrenal hyperplasia who require treatment, we recommend always wearing or carrying medical identification indicating that they have adrenal insufficiency.</t>
  </si>
  <si>
    <t>994</t>
  </si>
  <si>
    <t>We recommend counseling on, and monitoring for, feeding difficulties and poor weight gain in the first year of life, with collaborative evaluation and treatment by the primary care provider and/or spe</t>
  </si>
  <si>
    <t>995</t>
  </si>
  <si>
    <t>endocrine_cushings_syndrome_treatment_2015</t>
  </si>
  <si>
    <t>Treatment of Cushing's Syndrome: An Endocrine Society Clinical Practice Guideline</t>
  </si>
  <si>
    <t>https://doi.org/10.1210/jc.2015-1818</t>
  </si>
  <si>
    <t>In patients with CS undergoing surgery, we suggest perioperative prophylaxis for venous thromboembolism.</t>
  </si>
  <si>
    <t>996</t>
  </si>
  <si>
    <t>endocrine_pheochromocytoma_2014</t>
  </si>
  <si>
    <t>Pheochromocytoma and Paraganglioma: An Endocrine Society Clinical Practice Guideline</t>
  </si>
  <si>
    <t>https://doi.org/10.1210/jc.2014-1498</t>
  </si>
  <si>
    <t>We suggest the use of 123I-metaiodobenzylguanidine (MIBG) scintigraphy as a functional imaging modality in patients with metastatic PPGLs detected by other imaging modalities when radiotherapy using 1</t>
  </si>
  <si>
    <t>997</t>
  </si>
  <si>
    <t>In female patients with congenital adrenal hyperplasia for whom surgery is chosen, we suggest vaginoplasty using urogenital mobilization and, when chosen, neurovascular-sparing clitoroplasty for sever</t>
  </si>
  <si>
    <t>998</t>
  </si>
  <si>
    <t>We recommend that clinicians discuss and offer age-appropriate vaccinations to CS patients—particularly influenza, Herpes zoster, and pneumococcal vaccinations—due to an increased risk of infection.</t>
  </si>
  <si>
    <t>999</t>
  </si>
  <si>
    <t>CMR should be performed, in addition to or instead of initial screening echocardiography, in all adolescents and adults newly diagnosed with TS. Imaging should ideally be completed within 12 months, w</t>
  </si>
  <si>
    <t>1000</t>
  </si>
  <si>
    <t>We recommend that controlled ovarian stimulation and oocyte cryopreservation not be offered to premenarcheal children or individuals not mature enough to understand and undergo the procedure.</t>
  </si>
  <si>
    <t>1001</t>
  </si>
  <si>
    <t>We recommend measurement of IGF-1 levels in patients with typical clinical manifestations of acromegaly, especially those with acral and facial features.</t>
  </si>
  <si>
    <t>1002</t>
  </si>
  <si>
    <t>When testing for TS, we recommend that a minimum of 30 metaphases be counted on a chromosome analysis as the first-line test. When a rapid test result is needed (eg, prenatally, newborn) other methods</t>
  </si>
  <si>
    <t>1003</t>
  </si>
  <si>
    <t>endocrine_testosterone_therapy_2018</t>
  </si>
  <si>
    <t>Testosterone Therapy in Men with Hypogonadism: An Endocrine Society Clinical Practice Guideline</t>
  </si>
  <si>
    <t>https://doi.org/10.1210/jc.2018-00229</t>
  </si>
  <si>
    <t>In men who have hypogonadism, we recommend distinguishing between primary (testicular) and secondary (pituitary-hypothalamic) hypogonadism by measuring serum luteinizing hormone and follicle-stimulati</t>
  </si>
  <si>
    <t>1004</t>
  </si>
  <si>
    <t>euroguider_atopic_eczema_atopic_dermatitis_systemic_2025</t>
  </si>
  <si>
    <t>EuroGuiDerm (EDF/EADV)</t>
  </si>
  <si>
    <t>European Guideline (EuroGuiDerm) on atopic eczema: Living update</t>
  </si>
  <si>
    <t>https://doi.org/10.1111/jdv.20639</t>
  </si>
  <si>
    <t>In pregnant women with AE, who are being treated with azathioprine and still need a systemic treatment, we suggest continuing azathioprine.</t>
  </si>
  <si>
    <t>1005</t>
  </si>
  <si>
    <t>In pregnant women with AE, when topical treatments are insufficient, we recommend narrow-band UVB (311 nm) or broad spectrum UVB therapy if NB-UVB is unavailable.</t>
  </si>
  <si>
    <t>1006</t>
  </si>
  <si>
    <t>We recommend baricitinib in AE patients, who are candidates for systemic treatment.</t>
  </si>
  <si>
    <t>1007</t>
  </si>
  <si>
    <t>gina_asthma_2026</t>
  </si>
  <si>
    <t>GINA</t>
  </si>
  <si>
    <t>Global Strategy for Asthma Management and Prevention 2026</t>
  </si>
  <si>
    <t>https://ginasthma.org/wp-content/uploads/2026/05/GINA-2026-Strategy-Report-WMS.pdf</t>
  </si>
  <si>
    <t>Within the emergency department, high-dose ICS given within the first hour after presentation reduces the need for hospitalization in patients not receiving systemic corticosteroids.</t>
  </si>
  <si>
    <t>GINA_A</t>
  </si>
  <si>
    <t>1008</t>
  </si>
  <si>
    <t>Reduce ICS dose by 50%.</t>
  </si>
  <si>
    <t>1009</t>
  </si>
  <si>
    <t>Leukotriene receptor antagonists (LTRAs) are less effective than regular ICS, particularly for exacerbations.</t>
  </si>
  <si>
    <t>1010</t>
  </si>
  <si>
    <t>Regular physical activity can have a small benefit for asthma control and lung function, including swimming in young people with asthma.</t>
  </si>
  <si>
    <t>GINA_B</t>
  </si>
  <si>
    <t>1011</t>
  </si>
  <si>
    <t>Encourage smoking cessation by patient/family; provide advice and resources.</t>
  </si>
  <si>
    <t>1012</t>
  </si>
  <si>
    <t>Distinguish asthma symptoms from symptoms due to deconditioning, mechanical restriction, and/or sleep apnea.</t>
  </si>
  <si>
    <t>GINA_D</t>
  </si>
  <si>
    <t>1013</t>
  </si>
  <si>
    <t>Switch to a regimen with an anti-inflammatory reliever (as-needed ICS-formoterol or ICS-SABA) if available, as this reduces the risk of severe exacerbations, compared with SABA reliever.</t>
  </si>
  <si>
    <t>1014</t>
  </si>
  <si>
    <t>For patients with confirmed food allergy, refer for specialist advice.</t>
  </si>
  <si>
    <t>1015</t>
  </si>
  <si>
    <t>As a last resort, if biologic therapy is not available, add-on low-dose OCS (&lt;=7.5 mg/day prednisone-equivalent) may be considered for some adults with severe asthma, but maintenance OCS is associated</t>
  </si>
  <si>
    <t>1016</t>
  </si>
  <si>
    <t>Medium-dose ICS: another option for adults and adolescents is to increase ICS to medium dose, but at population level, this is less effective than adding a LABA.</t>
  </si>
  <si>
    <t>1017</t>
  </si>
  <si>
    <t>Decide about prescription of oral or ophthalmic beta-blockers on a case-by-case basis. Initiate treatment under close medical supervision by a specialist.</t>
  </si>
  <si>
    <t>1018</t>
  </si>
  <si>
    <t>Refer for expert advice on occupational exposure as soon as possible.</t>
  </si>
  <si>
    <t>1019</t>
  </si>
  <si>
    <t>gold_copd_2026</t>
  </si>
  <si>
    <t>GOLD</t>
  </si>
  <si>
    <t>Global Strategy for the Diagnosis, Management, and Prevention of Chronic Obstructive Pulmonary Disea</t>
  </si>
  <si>
    <t>https://goldcopd.org/wp-content/uploads/2026/01/GOLD-REPORT-2026-v1.3-8Dec2025_WMV2.pdf</t>
  </si>
  <si>
    <t>Preferentially, but not only in former smokers with exacerbations despite appropriate therapy, azithromycin can be considered.</t>
  </si>
  <si>
    <t>1020</t>
  </si>
  <si>
    <t>Treatment with azithromycin is associated with an increased incidence of bacterial resistance.</t>
  </si>
  <si>
    <t>1021</t>
  </si>
  <si>
    <t>Tdap (dTaP/dTPa) vaccination to protect against pertussis (whooping cough), in addition to tetanus and diphtheria, for people with COPD that were not vaccinated in adolescence, as recommended by the C</t>
  </si>
  <si>
    <t>1022</t>
  </si>
  <si>
    <t>In select patients with advanced emphysema, bronchoscopic interventions reduce end-expiratory lung volume and improve exercise tolerance, health status and lung function at 6-12 months following treat</t>
  </si>
  <si>
    <t>Contains multiple recommendations</t>
  </si>
  <si>
    <t>1023</t>
  </si>
  <si>
    <t>idsa_clostridium_difficile</t>
  </si>
  <si>
    <t>IDSA</t>
  </si>
  <si>
    <t xml:space="preserve">SHEA/IDSA 2017 Clinical Practice Guideline Update for Clostridium difficile Infection in Adults and </t>
  </si>
  <si>
    <t>https://doi.org/10.1093/cid/cix1085</t>
  </si>
  <si>
    <t>Accommodate patients with CDI in a private room with a dedicated toilet to decrease transmission to other patients. If there is a limited number of private single rooms, prioritize patients with stool</t>
  </si>
  <si>
    <t>1024</t>
  </si>
  <si>
    <t>idsa_influenza</t>
  </si>
  <si>
    <t>IDSA 2018 Clinical Practice Guideline Update for the Diagnosis, Treatment, Chemoprophylaxis, and Ins</t>
  </si>
  <si>
    <t>https://doi.org/10.1093/cid/ciy866</t>
  </si>
  <si>
    <t>Clinicians can consider educating patients and arranging for early empiric initiation of antiviral treatment as an alternative to postexposure antiviral chemoprophylaxis.</t>
  </si>
  <si>
    <t>1025</t>
  </si>
  <si>
    <t>idsa_infectious_diarrhea</t>
  </si>
  <si>
    <t>IDSA 2017 Clinical Practice Guidelines for the Diagnosis and Management of Infectious Diarrhea</t>
  </si>
  <si>
    <t>https://doi.org/10.1093/cid/cix959</t>
  </si>
  <si>
    <t>Detailed clinical and exposure history should be obtained from people with diarrhea.</t>
  </si>
  <si>
    <t>1026</t>
  </si>
  <si>
    <t>idsa_vancomycin</t>
  </si>
  <si>
    <t>ASHP/PIDS/SIDP/IDSA 2020 Revised Consensus Guideline and Review for Therapeutic Monitoring of Vancom</t>
  </si>
  <si>
    <t>https://doi.org/10.1093/ajhp/zxaa036</t>
  </si>
  <si>
    <t>In patients with suspected or definitive serious MRSA infections, an individualized target AUC/MIC_BMD ratio of 400 to 600 (assuming a vancomycin MIC_BMD of 1 mg/L) should be advocated to achieve clin</t>
  </si>
  <si>
    <t>1027</t>
  </si>
  <si>
    <t>idsa_management_of_chronic_pain_in_patients_living_with_hiv_2017</t>
  </si>
  <si>
    <t>Management of Chronic Pain in Patients Living with HIV</t>
  </si>
  <si>
    <t>https://doi.org/10.1093/cid/cix636</t>
  </si>
  <si>
    <t>Medical providers should monitor the treatment of chronic pain in PLWH, with periodic assessment of progress on achieving functional goals and documentation of pain intensity, quality of life, adverse</t>
  </si>
  <si>
    <t>1028</t>
  </si>
  <si>
    <t>Given the narrow vancomycin AUC range for therapeutic effect and minimal associated risk of acute kidney injury (AKI), the most accurate and optimal way to manage vancomycin dosing should be through A</t>
  </si>
  <si>
    <t>1029</t>
  </si>
  <si>
    <t>Clinicians should collect nasopharyngeal (optimally), mid-turbinate nasal, or combined nasal-throat specimens from hospitalized patients without severe lower respiratory tract disease for influenza te</t>
  </si>
  <si>
    <t>1030</t>
  </si>
  <si>
    <t>Discontinue the inciting antibiotic as soon as possible to reduce recurrence risk.</t>
  </si>
  <si>
    <t>1031</t>
  </si>
  <si>
    <t>Physical and occupational therapy are recommended for chronic pain (strong, low).</t>
  </si>
  <si>
    <t>1032</t>
  </si>
  <si>
    <t>idsa_hcv_guidance</t>
  </si>
  <si>
    <t>Hepatitis C Guidance 2023 Update: AASLD-IDSA Recommendations for Testing, Managing, and Treating Hep</t>
  </si>
  <si>
    <t>https://doi.org/10.1093/cid/ciad319</t>
  </si>
  <si>
    <t>Substance use disorder treatment programs and needle/syringe exchange programs should offer routine, opt-out HCV antibody testing with confirmatory HCV RNA testing and linkage to care.</t>
  </si>
  <si>
    <t>1033</t>
  </si>
  <si>
    <t>idsa_lyme_disease</t>
  </si>
  <si>
    <t>AAN/ACR/IDSA 2020 Guidelines for the Prevention, Diagnosis and Treatment of Lyme Disease</t>
  </si>
  <si>
    <t>https://doi.org/10.1093/cid/ciaa1215</t>
  </si>
  <si>
    <t>In patients with potential tick exposure in a Lyme disease endemic area who have 1 or more skin lesions compatible with erythema migrans, we recommend clinical diagnosis rather than laboratory testing</t>
  </si>
  <si>
    <t>1034</t>
  </si>
  <si>
    <t>In outpatients with Lyme carditis, we suggest oral antibiotics over IV antibiotics.</t>
  </si>
  <si>
    <t>1035</t>
  </si>
  <si>
    <t>idsa_neurocysticercosis</t>
  </si>
  <si>
    <t>ASTMH/IDSA 2017 Clinical Practice Guideline Update for the Diagnosis and Treatment of Neurocysticerc</t>
  </si>
  <si>
    <t>https://doi.org/10.1093/cid/cix1084</t>
  </si>
  <si>
    <t>We suggest that MRI be repeated at least every 6 months until resolution of cystic lesions for patients with SELs.</t>
  </si>
  <si>
    <t>1036</t>
  </si>
  <si>
    <t>idsa_candidiasis_2016</t>
  </si>
  <si>
    <t>Management of Candidiasis 2016</t>
  </si>
  <si>
    <t>https://doi.org/10.1093/cid/civ933</t>
  </si>
  <si>
    <t>A lumbar puncture and a dilated retinal examination are recommended in neonates with cultures positive for Candida species from blood and/or urine.</t>
  </si>
  <si>
    <t>1037</t>
  </si>
  <si>
    <t>If patients have an inadequate response to gabapentin, clinicians might consider a trial of tricyclic antidepressants (weak, moderate).</t>
  </si>
  <si>
    <t>1038</t>
  </si>
  <si>
    <t>Initial therapy with lipid formulation AmB, 3-5 mg/kg daily OR an echinocandin (micafungin: 100 mg daily; caspofungin: 70-mg loading dose, then 50 mg daily; or anidulafungin: 200-mg loading dose, then</t>
  </si>
  <si>
    <t>1039</t>
  </si>
  <si>
    <t>Clinicians should investigate and empirically treat bacterial coinfection in patients who deteriorate after initial improvement, particularly in those treated with antivirals.</t>
  </si>
  <si>
    <t>1040</t>
  </si>
  <si>
    <t>We recommend against using lamotrigine to relieve HIV-associated neuropathic pain (strong, moderate).</t>
  </si>
  <si>
    <t>1041</t>
  </si>
  <si>
    <t>idsa_asymptomatic_bacteriuria</t>
  </si>
  <si>
    <t>IDSA 2019 Clinical Practice Guideline Update for the Management of Asymptomatic Bacteriuria</t>
  </si>
  <si>
    <t>https://doi.org/10.1093/cid/ciy1121</t>
  </si>
  <si>
    <t>In patients planning to undergo surgery for an artificial urinary sphincter or penile prosthesis implantation, suggest not screening for or treating asymptomatic bacteriuria.</t>
  </si>
  <si>
    <t>1042</t>
  </si>
  <si>
    <t>idsa_acute_hematogenous_osteomyelitis_in_pediatrics</t>
  </si>
  <si>
    <t>PIDS/IDSA 2021 Clinical Practice Guideline on Acute Hematogenous Osteomyelitis in Pediatrics</t>
  </si>
  <si>
    <t>https://doi.org/10.1093/jpids/piab027</t>
  </si>
  <si>
    <t xml:space="preserve">For children with suspected or documented AHO who respond to initial intravenous antibiotic therapy, we recommend transition to an oral antibiotic regimen rather than OPAT when an appropriate (active </t>
  </si>
  <si>
    <t>1043</t>
  </si>
  <si>
    <t>idsa_acute_bacterial_arthritis_in_pediatrics</t>
  </si>
  <si>
    <t>PIDS/IDSA 2023 Guidelines for Diagnosing and Managing Acute Bacterial Arthritis in Pediatrics</t>
  </si>
  <si>
    <t>https://doi.org/10.1093/jpids/piad089</t>
  </si>
  <si>
    <t>In children with suspected ABA, we recommend obtaining plain radiography of the affected joint and adjacent bones rather than not performing plain radiographs.</t>
  </si>
  <si>
    <t>1044</t>
  </si>
  <si>
    <t>idsa_nontuberculous_mycobacterial_diseases</t>
  </si>
  <si>
    <t>ATS/ERS/ESCMID/IDSA Clinical Practice Guideline on NTM Pulmonary Disease Treatment (2020)</t>
  </si>
  <si>
    <t>https://doi.org/10.1093/cid/ciaa1125</t>
  </si>
  <si>
    <t>Suggest a multidrug regimen with at least three active drugs in the initial phase for M. abscessus pulmonary disease.</t>
  </si>
  <si>
    <t>1045</t>
  </si>
  <si>
    <t>For infection due to C. glabrata, transition to higher-dose fluconazole 800 mg (12 mg/kg) daily or voriconazole 200-300 (3-4 mg/kg) twice daily should only be considered among patients with fluconazol</t>
  </si>
  <si>
    <t>1046</t>
  </si>
  <si>
    <t>idsa_new_fever_in_critically_ill_patients</t>
  </si>
  <si>
    <t>SCCM/IDSA 2023 Guidelines for Evaluating New Fever in Adult Patients in the ICU</t>
  </si>
  <si>
    <t>https://doi.org/10.1097/CCM.0000000000006022</t>
  </si>
  <si>
    <t xml:space="preserve">When performing blood cultures in adult ICU patients, sequentially collect at least two sets of blood cultures (ideally 60 mL of blood total), from different anatomical sites, without a time interval </t>
  </si>
  <si>
    <t>1047</t>
  </si>
  <si>
    <t>Healthcare personnel must use gowns when entering CDI patient rooms and during patient care.</t>
  </si>
  <si>
    <t>1048</t>
  </si>
  <si>
    <t>Specimens from people involved in an outbreak of enteric disease should be tested for enteric pathogens per public health department guidance.</t>
  </si>
  <si>
    <t>1049</t>
  </si>
  <si>
    <t>For moderate to severe disease, oral fluconazole, 100-200 mg daily, for 7-14 days is recommended.</t>
  </si>
  <si>
    <t>1050</t>
  </si>
  <si>
    <t>For treatment-naive adults without cirrhosis or with compensated cirrhosis (genotypes 1-6): sofosbuvir/velpatasvir for 12 weeks is recommended.</t>
  </si>
  <si>
    <t>1051</t>
  </si>
  <si>
    <t>For treatment-naive adults with genotype 3 and compensated cirrhosis with baseline NS5a Y93 RAS: sofosbuvir/velpatasvir plus weight-based ribavirin for 12 weeks is an alternative.</t>
  </si>
  <si>
    <t>1052</t>
  </si>
  <si>
    <t>Oral zinc supplementation reduces the duration of diarrhea in children 6 months to 5 years of age who reside in countries with a high prevalence of zinc deficiency or who have signs of malnutrition (s</t>
  </si>
  <si>
    <t>1053</t>
  </si>
  <si>
    <t>A less preferred alternative for those who cannot tolerate oral therapy is AmB deoxycholate, 0.3-0.7 mg/kg daily.</t>
  </si>
  <si>
    <t>1054</t>
  </si>
  <si>
    <t>idsa_diabetic_foot_infections</t>
  </si>
  <si>
    <t>IWGDF/IDSA Guidelines on Diabetes-Related Foot Infections (2023)</t>
  </si>
  <si>
    <t>https://doi.org/10.1093/cid/ciz987</t>
  </si>
  <si>
    <t>Do not use G-CSF, topical antiseptics, silver, honey, bacteriophage, or negative-pressure wound therapy as adjunctive treatment for diabetic foot infection.</t>
  </si>
  <si>
    <t>1055</t>
  </si>
  <si>
    <t>idsa_hospital_acquired_and_ventilator_associated_pneumonia</t>
  </si>
  <si>
    <t>ATS/IDSA 2016 Clinical Practice Guidelines for the Management of Adults With Hospital-Acquired and V</t>
  </si>
  <si>
    <t>https://doi.org/10.1093/cid/ciw353</t>
  </si>
  <si>
    <t>In patients with HAP/VAP caused by Acinetobacter species, we suggest treatment with either a carbapenem or ampicillin/sulbactam if the isolate is susceptible to these agents.</t>
  </si>
  <si>
    <t>1056</t>
  </si>
  <si>
    <t>idsa_covid_19_molecular_diagnostic_testing_2021</t>
  </si>
  <si>
    <t>The Infectious Diseases Society of America Guidelines on the Diagnosis of COVID-19: Molecular Diagno</t>
  </si>
  <si>
    <t>https://doi.org/10.1093/cid/ciab048</t>
  </si>
  <si>
    <t>The IDSA panel suggests against SARS-CoV-2 RNA testing in asymptomatic individuals with no known contact with COVID-19 who are being hospitalized in areas with a low prevalence of COVID-19 in the comm</t>
  </si>
  <si>
    <t>1057</t>
  </si>
  <si>
    <t>All patients should be screened for depression with the following 2 questions: During the past 2 weeks have you often been bothered by feeling down, depressed, or hopeless? During the past 2 weeks hav</t>
  </si>
  <si>
    <t>1058</t>
  </si>
  <si>
    <r>
      <rPr>
        <u/>
        <sz val="12"/>
        <color rgb="FF1155CC"/>
        <rFont val="&quot;Aptos Narrow&quot;, sans-serif"/>
      </rPr>
      <t>https://doi.org/10.1093/cid/cix1084</t>
    </r>
  </si>
  <si>
    <t>For 1-2 viable parenchymal cysts, use albendazole monotherapy (15 mg/kg/day) for 10-14 days.</t>
  </si>
  <si>
    <t>1059</t>
  </si>
  <si>
    <t>Fluconazole, 800-mg (12 mg/kg) loading dose, then 400 mg (6 mg/kg) daily, is an alternative for patients who are not critically ill and have had no prior azole exposure.</t>
  </si>
  <si>
    <t>1060</t>
  </si>
  <si>
    <t>For children either experiencing primary treatment failure or early or late recurrence of AHO, clinicians should assess the adequacy of the antimicrobial regimen (spectrum of activity, dosage and pene</t>
  </si>
  <si>
    <t>1061</t>
  </si>
  <si>
    <t>Reduced osmolarity oral rehydration solution is recommended as first-line therapy for mild to moderate dehydration in infants, children, and adults with acute diarrhea.</t>
  </si>
  <si>
    <t>1062</t>
  </si>
  <si>
    <t>https://doi.org/10.1093/cid/cix275</t>
  </si>
  <si>
    <t>Treat subarachnoid neurocysticercosis cysts with antiparasitic drugs.</t>
  </si>
  <si>
    <t>1063</t>
  </si>
  <si>
    <t>ilae_depression_adults_epilepsy_2021</t>
  </si>
  <si>
    <t>ILAE</t>
  </si>
  <si>
    <t>ILAE clinical practice recommendations for the medical treatment of depression in adults with epilep</t>
  </si>
  <si>
    <t>https://doi.org/10.1111/epi.17140</t>
  </si>
  <si>
    <t>Combination of an SSRI with an inhibitor of presynaptic autoreceptors, like mirtazapine, can be considered when monotherapy fails. The combination of venlafaxine with mirtazapine may be accompanied by</t>
  </si>
  <si>
    <t>ILAE = U CONS</t>
  </si>
  <si>
    <t>1064</t>
  </si>
  <si>
    <t>Selective serotonin reuptake inhibitors (SSRIs) are not associated with seizure worsening in people with epilepsy.</t>
  </si>
  <si>
    <t>ILAE = C</t>
  </si>
  <si>
    <t>1065</t>
  </si>
  <si>
    <t>Hypericum (St. John's-Wort) may be an option in patients with mild depression who prefer alternative medicine, but intensive education about potential side effects including seizure relapse and intera</t>
  </si>
  <si>
    <t>1066</t>
  </si>
  <si>
    <t>isth_covid_antithrombotic_2022</t>
  </si>
  <si>
    <t>ISTH</t>
  </si>
  <si>
    <t>ISTH Guidelines for Antithrombotic Treatment in COVID-19</t>
  </si>
  <si>
    <t>https://doi.org/10.1111/jth.15808</t>
  </si>
  <si>
    <t>Post-discharge treatment with prophylactic dose rivaroxaban for approximately 30 days may be considered to reduce VTE risk.</t>
  </si>
  <si>
    <t>1067</t>
  </si>
  <si>
    <t>Intermediate dose LMWH/UFH is not recommended over prophylactic dose to reduce adverse events in critically ill hospitalized COVID-19 patients.</t>
  </si>
  <si>
    <t>1068</t>
  </si>
  <si>
    <t>isth_ttp_2020</t>
  </si>
  <si>
    <t>ISTH Guidelines for Treatment of Thrombotic Thrombocytopenic Purpura</t>
  </si>
  <si>
    <t>https://doi.org/10.1111/jth.15010</t>
  </si>
  <si>
    <t>For patients with iTTP who are in remission but still have low plasma ADAMTS13 activity with no clinical signs or symptoms, use of rituximab over nonuse of rituximab for prophylaxis.</t>
  </si>
  <si>
    <t>1069</t>
  </si>
  <si>
    <t>endocrine_the_2020_italian_society_of_arterial_hypertension_</t>
  </si>
  <si>
    <t>Italian Society of Arterial Hypertension</t>
  </si>
  <si>
    <t xml:space="preserve">The 2020 Italian Society of Arterial Hypertension (SIIA) practical guidelines for the management of </t>
  </si>
  <si>
    <t>https://doi.org/10.1016/j.ijchy.2020.100029</t>
  </si>
  <si>
    <t>AVS-guided laparoscopic adrenalectomy is the best treatment for unilateral PA.</t>
  </si>
  <si>
    <t>1070</t>
  </si>
  <si>
    <t>When BP is not controlled with treatment, laparoscopic adrenalectomy is preferred in APA patients during the second trimester and MRAs might be added only if hypertension is uncontrolled.</t>
  </si>
  <si>
    <t>1071</t>
  </si>
  <si>
    <t>The ARR provides quantitative information that should not be neglected by categorizing its results simply as positive or negative.</t>
  </si>
  <si>
    <t>1072</t>
  </si>
  <si>
    <t>kdigo_tx_candidate_2020</t>
  </si>
  <si>
    <t>KDIGO</t>
  </si>
  <si>
    <t>KDIGO Tx Candidate</t>
  </si>
  <si>
    <t>https://doi.org/10.1097/TP.0000000000003136</t>
  </si>
  <si>
    <t>11.1.4: We recommend screening for hepatocellular carcinoma in candidates with cirrhosis prior to transplantation using techniques (eg, ultrasound, α-fetoprotein) and frequency as per local guidelines</t>
  </si>
  <si>
    <t>1073</t>
  </si>
  <si>
    <t>10.5.8.1.1: We suggest MMR immunization for MMR seronegative candidates at least 4 weeks prior to transplantation (2C).</t>
  </si>
  <si>
    <t>1074</t>
  </si>
  <si>
    <t>kdigo_adpkd_2025</t>
  </si>
  <si>
    <t>KDIGO Clinical Practice Guideline for Autosomal Dominant Polycystic Kidney Disease (ADPKD)</t>
  </si>
  <si>
    <t>https://kdigo.org/guidelines/autosomal-dominant-polycystic-kidney-disease-adpkd/</t>
  </si>
  <si>
    <t>We suggest that native nephrectomy in people with ADPKD receiving a kidney transplant should be performed only for specific indications when the benefit out- weighs the risk (Figure 21)</t>
  </si>
  <si>
    <t>1075</t>
  </si>
  <si>
    <t>11.1.1.2: We suggest chest CT for current or former heavy tobacco users (≥ 30 pack-years) as per local guidelines, and chest radiograph for other candidates (2C). (Same as Rec 12.2.1)</t>
  </si>
  <si>
    <t>1076</t>
  </si>
  <si>
    <t>kdigo_hep_c_2022</t>
  </si>
  <si>
    <t>Hepatitis C in CKD</t>
  </si>
  <si>
    <t>https://doi.org/10.1016/j.kint.2022.07.013</t>
  </si>
  <si>
    <t>We recommend that patients with cryoglobulinemic flare or rapidly progressive glomerulonephritis be treated with both DAAs and immunosuppressive agents with or without plasma exchange</t>
  </si>
  <si>
    <t>1077</t>
  </si>
  <si>
    <t>9.16.4: We recommend the use of strategies to lower total body oxalate burden prior to transplantation in patients with hyperoxaluria, including intensive dialysis, diet modification, and pyridoxine t</t>
  </si>
  <si>
    <t>1078</t>
  </si>
  <si>
    <t xml:space="preserve">HCV-infected patients with a typical presentation of immune-complex proliferative glomerulonephritis can be managed without a confirmatory kidney biopsy. However, a biopsy may be indicated in certain </t>
  </si>
  <si>
    <t>Not Graded</t>
  </si>
  <si>
    <t>1079</t>
  </si>
  <si>
    <t>kdigo_iga_nephropathy_iga_vasculitis_2025</t>
  </si>
  <si>
    <t>KDIGO Clinical Practice Guideline for IgA Nephropathy and IgA Vasculitis</t>
  </si>
  <si>
    <t>https://doi.org/10.1016/j.kint.2025.04.004</t>
  </si>
  <si>
    <t>We suggest treatment with a 9-month course of Nefecon for patients who are at risk of progressive loss of kidney function with IgAN.</t>
  </si>
  <si>
    <t>1080</t>
  </si>
  <si>
    <t>9.9.2: We suggest that ANCA-vasculitis should be clinically quiescent prior to transplantation (2D).</t>
  </si>
  <si>
    <t>1081</t>
  </si>
  <si>
    <t>kdigo_diabetes_2022</t>
  </si>
  <si>
    <t>KDIGO Clinical Practice Guideline for Diabetes Management in CKD</t>
  </si>
  <si>
    <t>https://doi.org/10.1016/j.kint.2022.06.008</t>
  </si>
  <si>
    <t>We recommend advising patients with diabetes and CKD who use tobacco to quit using tobacco products.</t>
  </si>
  <si>
    <t>1082</t>
  </si>
  <si>
    <t>10.5.8.1: We suggest screening for MMR using IgG serology (2C).</t>
  </si>
  <si>
    <t>1083</t>
  </si>
  <si>
    <t>6.4: We recommend that candidates abstain from tobacco use, at a minimum 1 month prior to waitlisting or living donor transplantation (1B).</t>
  </si>
  <si>
    <t>1084</t>
  </si>
  <si>
    <t>kdigo_ckd_mbd_2017</t>
  </si>
  <si>
    <t>KDIGO Clinical Practice Guideline Update for CKD-Mineral and Bone Disorder</t>
  </si>
  <si>
    <t>https://doi.org/10.1016/j.kisu.2017.04.001</t>
  </si>
  <si>
    <t>In patients with CKD G3a–G5D, we recommend that therapeutic decisions be based on trends rather than on a single laboratory value, taking into account all available CKD-MBD assessments.</t>
  </si>
  <si>
    <t>1085</t>
  </si>
  <si>
    <t>We recommend not using dedicated dialysis machines for HCV-infected patients</t>
  </si>
  <si>
    <t>1086</t>
  </si>
  <si>
    <t xml:space="preserve">17.5: We recommend that candidates with sickle cell disease or thalassemia not be excluded from kidney transplantation [see sections on recurrent disease: Section 9-19 sickle cell disease]. (1C) 17.6 </t>
  </si>
  <si>
    <t>1087</t>
  </si>
  <si>
    <t>In patients with T2D and CKD who have not achieved individualized glycemic targets despite use of metformin and SGLT2i treatment, or who are unable to use those medications, we recommend a long-acting</t>
  </si>
  <si>
    <t>1088</t>
  </si>
  <si>
    <t>19.7.2: We suggest that antibody avoidance (eg, kidney exchange programs or deceased donor acceptable mismatch allocation) be considered before desensitization (2C).</t>
  </si>
  <si>
    <t>1089</t>
  </si>
  <si>
    <t>In patients with CKD G3a–G5D, we suggest limiting dietary phosphate intake in the treatment of hyperphosphatemia alone or in combination with other treatments.</t>
  </si>
  <si>
    <t>1090</t>
  </si>
  <si>
    <t>kdigo_lipids_2013</t>
  </si>
  <si>
    <t>KDIGO Clinical Practice Guideline for Lipid Management in CKD</t>
  </si>
  <si>
    <t>https://kdigo.org/guidelines/lipids-in-ckd/</t>
  </si>
  <si>
    <t>In adults aged &gt;=50 years with eGFR &lt;60 ml/min/1.73 m2 but not treated with chronic dialysis or kidney transplantation (GFR categories G3a-G5), we recommend treatment with a statin or statin/ezetimibe</t>
  </si>
  <si>
    <t>1091</t>
  </si>
  <si>
    <t>10.5.2.5.3:  We suggest that if receiving a kidney from an HCVpositive donor improves the chances for transplantation, the HCV NAT-positive patient can undergo transplantation with an HCVpositive kid</t>
  </si>
  <si>
    <t>1092</t>
  </si>
  <si>
    <t>We recommend screening all patients for HCV infection at the time of evaluation for kidney transplantation</t>
  </si>
  <si>
    <t>1093</t>
  </si>
  <si>
    <t>ota_acute_musculoskeletal_injury_pain_2019</t>
  </si>
  <si>
    <t>OTA</t>
  </si>
  <si>
    <t>Clinical Practice Guidelines for Pain Management in Acute Musculoskeletal Injury</t>
  </si>
  <si>
    <t>https://doi.org/10.1097/BOT.0000000000001430</t>
  </si>
  <si>
    <t>The panel recommends that prescribers, to the extent possible, develop, support, or both the implementation of clinical decision support regarding opioid prescribing in the electronic medical record.</t>
  </si>
  <si>
    <t>low-quality</t>
  </si>
  <si>
    <t>1094</t>
  </si>
  <si>
    <t>The panel recommends the use of periarticular injections as an adjunct to pain management that improves pain control postoperatively.</t>
  </si>
  <si>
    <t>moderate-quality</t>
  </si>
  <si>
    <t>1095</t>
  </si>
  <si>
    <t>The panel recommends that perioperative analgesia should be managed with a MMA regimen in all opioid-tolerant patients.</t>
  </si>
  <si>
    <t>1096</t>
  </si>
  <si>
    <t>rcog_placenta_praevia_27a</t>
  </si>
  <si>
    <t>RCOG</t>
  </si>
  <si>
    <t>RCOG Green-top Guideline: Placenta Praevia (GTG 27a)</t>
  </si>
  <si>
    <t>https://doi.org/10.1111/1471-0528.15306</t>
  </si>
  <si>
    <t>Once the diagnosis of placenta accreta spectrum is made, a contingency plan for emergency delivery should be developed in partnership with the woman, including the use of an institutional protocol for</t>
  </si>
  <si>
    <t>1097</t>
  </si>
  <si>
    <t>rcog_antepartum_haemorrhage_63</t>
  </si>
  <si>
    <t>Antepartum Haemorrhage (GTG 63)</t>
  </si>
  <si>
    <t>https://www.rcog.org.uk/guidance/browse-all-guidance/green-top-guidelines/antepartum-haemorrhage-green-top-guideline-no-63/</t>
  </si>
  <si>
    <t>Women should be advised, encouraged and helped to change modifiable risk factors (such as smoking and drug misuse).</t>
  </si>
  <si>
    <t>1098</t>
  </si>
  <si>
    <t>rcog_gtg_52_pph_2016</t>
  </si>
  <si>
    <t>Prevention and Management of Postpartum Haemorrhage (GTG 52)</t>
  </si>
  <si>
    <t>https://doi.org/10.1111/1471-0528.14178</t>
  </si>
  <si>
    <t xml:space="preserve">Clinicians should be aware that these blood components must be ordered as soon as a need for them is anticipated, as there will always be a short delay in supply because of the need for thawing. [New </t>
  </si>
  <si>
    <t>1099</t>
  </si>
  <si>
    <t>rcog_epilepsy_pregnancy_68</t>
  </si>
  <si>
    <t>RCOG Green-top Guideline No. 68: Epilepsy in Pregnancy</t>
  </si>
  <si>
    <t>https://www.rcog.org.uk/guidance/browse-all-guidance/green-top-guidelines/epilepsy-in-pregnancy-green-top-guideline-no-68/</t>
  </si>
  <si>
    <t>All WWE should be offered a detailed ultrasound in line with the National Health Service Fetal Anomaly Screening Programme standards.</t>
  </si>
  <si>
    <t>1100</t>
  </si>
  <si>
    <t>rcog_gtg_73_pprom_2019</t>
  </si>
  <si>
    <t>Care of Women Presenting with Suspected Preterm Prelabour Rupture of Membranes (GTG 73)</t>
  </si>
  <si>
    <t>https://doi.org/10.1111/1471-0528.15803</t>
  </si>
  <si>
    <t>Women should be advised of, and observed for, symptoms of clinical chorioamnionitis (lower abdominal pain, abnormal vaginal discharge, fever, malaise and reduced fetal movements).</t>
  </si>
  <si>
    <t>1101</t>
  </si>
  <si>
    <t>It is recommended that a laminated diagram of the brace suture technique be kept in theatre.</t>
  </si>
  <si>
    <t>1102</t>
  </si>
  <si>
    <t>rcog_gtg_37a_vte_in_pregnancy_2023</t>
  </si>
  <si>
    <t>Reducing the Risk of Venous Thromboembolism during Pregnancy and the Puerperium (GTG 37a)</t>
  </si>
  <si>
    <t>https://www.rcog.org.uk/guidance/browse-all-guidance/green-top-guidelines/reducing-the-risk-of-thrombosis-and-embolism-during-pregnancy-and-the-puerperium-green-top-guideline-no-37a/</t>
  </si>
  <si>
    <t>In women in whom the original VTE was provoked by major surgery from which they have recovered and who have no other risk factors, thromboprophylaxis with LMWH can be withheld antenatally until 28 wee</t>
  </si>
  <si>
    <t>1103</t>
  </si>
  <si>
    <t>rcog_gtg_54b_malaria_treatment_2010</t>
  </si>
  <si>
    <t>GTG 54b Malaria Treatment</t>
  </si>
  <si>
    <t>2010</t>
  </si>
  <si>
    <t>https://www.rcog.org.uk/media/rfrerkjz/gtg_54b.pdf</t>
  </si>
  <si>
    <t>Use chloroquine to treat P. vivax, P. ovale or P. malariae.</t>
  </si>
  <si>
    <t>1104</t>
  </si>
  <si>
    <t>rcog_blood_transfusion_obstetrics_47</t>
  </si>
  <si>
    <t>Blood Transfusion in Obstetrics (GTG 47)</t>
  </si>
  <si>
    <t>https://www.rcog.org.uk/media/sdqcorsf/gtg-47.pdf</t>
  </si>
  <si>
    <t>All women should have their blood group and antibody status checked at booking and at 28 weeks of gestation.</t>
  </si>
  <si>
    <t>1105</t>
  </si>
  <si>
    <t>rcog_gtg_46_post_hysterectomy_vault_prolapse_2015</t>
  </si>
  <si>
    <t>GTG 46 Post-Hysterectomy Vault Prolapse</t>
  </si>
  <si>
    <t>https://www.rcog.org.uk/media/ojlovp5w/gtg-46.pdf</t>
  </si>
  <si>
    <t>There is inadequate and conflicting evidence over the use of permanent sutures in the short term and no evidence of benefit in the long term; they can be associated with high suture exposure rates.</t>
  </si>
  <si>
    <t>1106</t>
  </si>
  <si>
    <t>Tocolysis for women presenting with symptomatic placenta praevia or a low-lying placenta may be considered for 48 hours to facilitate administration of antenatal corticosteroids.</t>
  </si>
  <si>
    <t>1107</t>
  </si>
  <si>
    <t>Women should have a group and screen sample taken in line with clear locally agreed protocols for provision of blood.</t>
  </si>
  <si>
    <t>1108</t>
  </si>
  <si>
    <t>Cell salvage is recommended for patients where the anticipated blood loss is great enough to induce anaemia or expected to exceed 20% of estimated blood volume.</t>
  </si>
  <si>
    <t>1109</t>
  </si>
  <si>
    <t>Pharmacological thromboprophylaxis should be weighed up against the risk of haemorrhage and should be withheld if the platelet count is falling or less than 100, indicating thrombocytopenia.</t>
  </si>
  <si>
    <t>1110</t>
  </si>
  <si>
    <t>There are no specific symptoms or signs and malaria infection may present with a flu-like illness.</t>
  </si>
  <si>
    <t>1111</t>
  </si>
  <si>
    <t>Tocolysis in patients with PPROM is not recommended.</t>
  </si>
  <si>
    <t>1112</t>
  </si>
  <si>
    <t>Women presenting with spotting who are no longer bleeding and where placenta praevia has been excluded can go home after a reassuring initial clinical assessment.</t>
  </si>
  <si>
    <t>1113</t>
  </si>
  <si>
    <t>rcog_gtg_37b_thrombosis_acute_management_2015</t>
  </si>
  <si>
    <t>GTG 37b Thrombosis Acute Management</t>
  </si>
  <si>
    <t>https://www.rcog.org.uk/media/wj2lpco5/gtg-37b-1.pdf</t>
  </si>
  <si>
    <t>Compression duplex ultrasound should be undertaken where there is clinical suspicion of DVT.</t>
  </si>
  <si>
    <t>1114</t>
  </si>
  <si>
    <t>Women should be aware that both ASC and SSF are effective treatments for primary PHVP.</t>
  </si>
  <si>
    <t>1115</t>
  </si>
  <si>
    <t>rcog_gtg_13_chickenpox_in_pregnancy_2015</t>
  </si>
  <si>
    <t>GTG 13 Chickenpox in Pregnancy</t>
  </si>
  <si>
    <t>https://www.rcog.org.uk/guidance/browse-all-guidance/green-top-guidelines/chickenpox-in-pregnancy-green-top-guideline-no-13/</t>
  </si>
  <si>
    <t>Oral aciclovir should be prescribed for pregnant women with chickenpox if they present within 24 hours of the onset of the rash and if they are 20+0 weeks of gestation or beyond. Use of aciclovir befo</t>
  </si>
  <si>
    <t>1116</t>
  </si>
  <si>
    <t>Serial growth scans are required for detection of small-for-gestational-age babies and to plan further management in WWE exposed to AEDs.</t>
  </si>
  <si>
    <t>1117</t>
  </si>
  <si>
    <t>Rapid infusion and fluid warming devices should be immediately available.</t>
  </si>
  <si>
    <t>1118</t>
  </si>
  <si>
    <t>Ultrasound can be used to diagnose placenta praevia but does not exclude abruption.</t>
  </si>
  <si>
    <t>1119</t>
  </si>
  <si>
    <t>Women admitted to hospital when pregnant (including to the gynaecology ward with hyperemesis gravidarum or ovarian hyperstimulation syndrome) should usually be offered thromboprophylaxis with LMWH unl</t>
  </si>
  <si>
    <t>1120</t>
  </si>
  <si>
    <t>It should be made clear to any woman being treated at home in the third trimester that she should attend the hospital immediately if she experiences any bleeding, including spotting, contractions or p</t>
  </si>
  <si>
    <t>1121</t>
  </si>
  <si>
    <t>Women taking lamotrigine monotherapy and oestrogen-containing contraceptives should be informed of the potential increase in seizures due to a fall in the levels of lamotrigine.</t>
  </si>
  <si>
    <t>1122</t>
  </si>
  <si>
    <t>The elective delivery of women with placenta accreta spectrum should be managed by a multidisciplinary team, which should include senior anaesthetists, obstetricians and gynaecologists with appropriat</t>
  </si>
  <si>
    <t>1123</t>
  </si>
  <si>
    <t>rcog_gtg_50_umbilical_cord_prolapse_2014</t>
  </si>
  <si>
    <t>GTG 50 Umbilical Cord Prolapse</t>
  </si>
  <si>
    <t>https://www.rcog.org.uk/guidance/browse-all-guidance/green-top-guidelines/umbilical-cord-prolapse-green-top-guideline-no-50/</t>
  </si>
  <si>
    <t>Immediate resuscitation should take priority over DCC when the baby is unwell at birth.</t>
  </si>
  <si>
    <t>1124</t>
  </si>
  <si>
    <t>The presenting part should be elevated during transfer either manually or by using bladder distension. It is recommended that community midwives carry a Foley catheter for this purpose and equipment f</t>
  </si>
  <si>
    <t>1125</t>
  </si>
  <si>
    <t>rcog_gtg_53_female_genital_mutilation_2015</t>
  </si>
  <si>
    <t>GTG 53 Female Genital Mutilation</t>
  </si>
  <si>
    <t>https://www.rcog.org.uk/media/au0jn5of/gtg-53-fgm.pdf</t>
  </si>
  <si>
    <t>The health professional must explain the UK law on FGM.</t>
  </si>
  <si>
    <t>1126</t>
  </si>
  <si>
    <t>Standardised classification systems should be used for the assessment and documentation of pelvic organ prolapse (POP), including vault prolapse.</t>
  </si>
  <si>
    <t>1127</t>
  </si>
  <si>
    <t>rcog_gtg_29_perineal_tears_2015</t>
  </si>
  <si>
    <t>GTG 29 Perineal Tears</t>
  </si>
  <si>
    <t>https://www.rcog.org.uk/media/5jeb5hzu/gtg-29.pdf</t>
  </si>
  <si>
    <t>All women who sustained OASIS in a previous pregnancy should be counselled about the mode of delivery and this should be clearly documented in the notes.</t>
  </si>
  <si>
    <t>1128</t>
  </si>
  <si>
    <t>rcog_vbac_45</t>
  </si>
  <si>
    <t>RCOG Green-top Guideline No. 45: Birth After Previous Caesarean Birth</t>
  </si>
  <si>
    <t>https://www.rcog.org.uk/media/kpkjwd5h/gtg_45.pdf</t>
  </si>
  <si>
    <t>Women should be made aware that the greatest risk of adverse outcome occurs in a trial of VBAC resulting in emergency caesarean delivery.</t>
  </si>
  <si>
    <t>1129</t>
  </si>
  <si>
    <t>Clinicians should be aware that the visual estimation of peripartum blood loss is inaccurate and that clinical signs and symptoms should be included in the assessment of PPH. [New 2016]</t>
  </si>
  <si>
    <t>1130</t>
  </si>
  <si>
    <t>Accurate documentation of a delivery with PPH is essential.</t>
  </si>
  <si>
    <t>1131</t>
  </si>
  <si>
    <t>SAGES-BDI-2025</t>
  </si>
  <si>
    <t>SAGES</t>
  </si>
  <si>
    <t>SAGES-AHPBA Guideline for the Surgical Management of Bile Duct Injury Following Cholecystectomy</t>
  </si>
  <si>
    <t>https://doi.org/10.1007/s00464-025-12352-6</t>
  </si>
  <si>
    <t>The panel suggests either definitive operative management or nonoperative management for amenable injuries with expertise available.</t>
  </si>
  <si>
    <t>1132</t>
  </si>
  <si>
    <t>SAGES-PD-2023</t>
  </si>
  <si>
    <t>SAGES Peritoneal Dialysis Access Guideline Update 2023</t>
  </si>
  <si>
    <t>https://doi.org/10.1007/s00464-023-10550-8</t>
  </si>
  <si>
    <t>KQ2 (pediatric): For pediatric patients, the panel suggests either traditional or urgent start when initiating peritoneal dialysis.</t>
  </si>
  <si>
    <t>1133</t>
  </si>
  <si>
    <t>SAGES-POEM-2024</t>
  </si>
  <si>
    <t>2024 Update to SAGES Guidelines for the Use of Peroral Endoscopic Myotomy (POEM) in the Treatment of</t>
  </si>
  <si>
    <t>https://doi.org/10.1007/s00464-025-11789-z</t>
  </si>
  <si>
    <t>The Guideline panel suggests peroral endoscopic myotomy over pneumatic dilatation for the treatment of achalasia in adults.</t>
  </si>
  <si>
    <t>1134</t>
  </si>
  <si>
    <t>pmc_9848214</t>
  </si>
  <si>
    <t>SCCM</t>
  </si>
  <si>
    <t>Executive Summary of the Second International Guidelines for the Diagnosis and Management of Pediatr</t>
  </si>
  <si>
    <t>https://doi.org/10.1097/PCC.0000000000003147</t>
  </si>
  <si>
    <t>We suggest that in PARDS patients with arterial access, dead space to tidal volume ratio and/or end-tidal alveolar dead-space fraction should be measured, at the onset of PARDS to assist in the bedsid</t>
  </si>
  <si>
    <t>1135</t>
  </si>
  <si>
    <t>endocrine_surviving_sepsis_campaign_international_guidelines</t>
  </si>
  <si>
    <t>Surviving sepsis campaign international guidelines for the management of septic shock and sepsis-ass</t>
  </si>
  <si>
    <t>https://doi.org/10.1007/s00134-019-05878-6</t>
  </si>
  <si>
    <t>We suggest against using plasma exchange in children with septic shock or other sepsis-associated organ dysfunction without thrombocytopenia-associated multiple organ failure (TAMOF).</t>
  </si>
  <si>
    <t>1136</t>
  </si>
  <si>
    <t>sccm_ssc_covid_2021_update_icm_2021</t>
  </si>
  <si>
    <t>Surviving Sepsis Campaign: International Guidelines for Management of Sepsis and Septic Shock 2021</t>
  </si>
  <si>
    <t>https://doi.org/10.1007/s00134-021-06506-y</t>
  </si>
  <si>
    <t>For adults with sepsis or septic shock at high risk of fungal infection, we suggest using empiric antifungal therapy over no antifungal therapy.</t>
  </si>
  <si>
    <t>1137</t>
  </si>
  <si>
    <t>In adults with sepsis or septic shock and AKI, we suggest using either continuous or intermittent renal replacement therapy.</t>
  </si>
  <si>
    <t>1138</t>
  </si>
  <si>
    <t>We suggest slow decrease in PaCO2 compared with rapid decrease of PaCO2 in patients with PARDS supported on ECMO, especially in the setting of hypercapnia.</t>
  </si>
  <si>
    <t>1139</t>
  </si>
  <si>
    <t>sccm_padis_2018</t>
  </si>
  <si>
    <t>Clinical Practice Guidelines for the Prevention and Management of Pain, Agitation/Sedation, Delirium</t>
  </si>
  <si>
    <t>https://doi.org/10.1097/CCM.0000000000003299</t>
  </si>
  <si>
    <t>We suggest using an assessment-driven, protocol-based, stepwise approach for pain and sedation management in critically ill adults.</t>
  </si>
  <si>
    <t>1140</t>
  </si>
  <si>
    <t>In patients on NIV who do not show clinical improvement within the first 6 hours of treatment or have signs and symptoms of worsening disease including increased respiratory/heart rate, increased work</t>
  </si>
  <si>
    <t>1141</t>
  </si>
  <si>
    <t>We suggest not using aromatherapy, acupressure, or music at night to improve sleep in critically ill adults.</t>
  </si>
  <si>
    <t>1142</t>
  </si>
  <si>
    <t>We recommend against the routine use of inhaled nitric oxide (iNO) in all children with sepsis-induced PARDS.</t>
  </si>
  <si>
    <t>1143</t>
  </si>
  <si>
    <t>sccm_ssc_covid_19_management_2021</t>
  </si>
  <si>
    <t>Surviving Sepsis Campaign Guidelines on the Management of Adults With Coronavirus Disease 2019 (COVI</t>
  </si>
  <si>
    <t>https://doi.org/10.1097/CCM.0000000000004899</t>
  </si>
  <si>
    <t>For mechanically ventilated adults with COVID-19 and hypoxemia despite optimizing ventilation, we suggest using recruitment maneuvers over not using recruitment maneuvers.</t>
  </si>
  <si>
    <t>1144</t>
  </si>
  <si>
    <t>sccm_safe_medication_use_in_the_icu_2017</t>
  </si>
  <si>
    <t>Society of Critical Care Medicine Guidelines on Safe Medication Use in the ICU</t>
  </si>
  <si>
    <t>https://doi.org/10.1097/CCM.0000000000002533</t>
  </si>
  <si>
    <t>We recommend including direct observation as a component of an active medication surveillance system since it provides the advantage of detecting more events and is likely to detect more administratio</t>
  </si>
  <si>
    <t>1145</t>
  </si>
  <si>
    <t>sccm_surviving_sepsis_campaign_2026_pediatric_2026</t>
  </si>
  <si>
    <t xml:space="preserve">Surviving Sepsis Campaign International Guidelines for the Management of Sepsis and Septic Shock in </t>
  </si>
  <si>
    <t>https://doi.org/10.1007/s00134-026-08360-2</t>
  </si>
  <si>
    <t>For children with sepsis or septic shock, we suggest against the acute repletion of vitamin D in the absence of clinical vitamin D insufficiency.</t>
  </si>
  <si>
    <t>1146</t>
  </si>
  <si>
    <t>In healthcare systems with no availability of intensive care and in the absence of hypotension, we recommend against bolus fluid administration while starting maintenance fluids.</t>
  </si>
  <si>
    <t>1147</t>
  </si>
  <si>
    <t>sccm_prevention_and_treatment_of_central_line_associated_bsi_2025</t>
  </si>
  <si>
    <t>Prevention and Treatment of Central Line-Associated BSI</t>
  </si>
  <si>
    <t>https://doi.org/10.1016/j.jointm.2025.10.008</t>
  </si>
  <si>
    <t>Question 4.9 (skin disinfectant): Skin disinfection with alcohol-based chlorhexidine solution is strongly recommended before catheter insertion.</t>
  </si>
  <si>
    <t>1148</t>
  </si>
  <si>
    <t>We suggest against the use of ascorbic acid (vitamin C) in the treatment of children with septic shock or other sepsis-associated organ dysfunction.</t>
  </si>
  <si>
    <t>1149</t>
  </si>
  <si>
    <t>We cannot suggest for or against the use of recruitment maneuvers in patients with PARDS.</t>
  </si>
  <si>
    <t>1150</t>
  </si>
  <si>
    <t>For children with septic shock, we suggest targeting Scvo2 &gt;= 70% when central venous access is available, over not targeting Scvo2.</t>
  </si>
  <si>
    <t>1151</t>
  </si>
  <si>
    <t>shea_PMC10369222</t>
  </si>
  <si>
    <t>SHEA</t>
  </si>
  <si>
    <t xml:space="preserve">SHEA/IDSA/APIC Practice Recommendation: Strategies to prevent methicillin-resistanttransmission and </t>
  </si>
  <si>
    <t>https://doi.org/10.1017/ice.2023.102</t>
  </si>
  <si>
    <t>Use contact precautions for MRSA-colonized and MRSA-infected patients. A facility that chooses or has already chosen to modify the use of contact precautions for some or all of these patients should c</t>
  </si>
  <si>
    <t>1152</t>
  </si>
  <si>
    <t>Implement an alert system that identifies readmitted or transferred MRSA-colonized or MRSA-infected patients.</t>
  </si>
  <si>
    <t>1153</t>
  </si>
  <si>
    <t>Implement a MRSA monitoring program.</t>
  </si>
  <si>
    <t>1154</t>
  </si>
  <si>
    <t>sitc_immunotherapy_gynecologic_cancer_2023</t>
  </si>
  <si>
    <t>SITC</t>
  </si>
  <si>
    <t>Society for Immunotherapy of Cancer (SITC) clinical practice guideline on immunotherapy for the trea</t>
  </si>
  <si>
    <t>https://doi.org/10.1136/jitc-2022-006624</t>
  </si>
  <si>
    <t>NGS testing should be offered to all patients with newly diagnosed ovarian cancer.</t>
  </si>
  <si>
    <t>LE:2</t>
  </si>
  <si>
    <t>1155</t>
  </si>
  <si>
    <t>sitc_cutaneous_melanoma_immunotherapy_2023</t>
  </si>
  <si>
    <t>The 2023 Society for Immunotherapy of Cancer (SITC) clinical practice guideline on immunotherapy for</t>
  </si>
  <si>
    <t>https://doi.org/10.1136/jitc-2023-006947</t>
  </si>
  <si>
    <t>For patients with uveal melanoma oligometastatic to the liver only, liver-directed therapy should be considered (LE:1).</t>
  </si>
  <si>
    <t>1156</t>
  </si>
  <si>
    <t>For patients whose best response is PD or &lt;6 months of SD following at least 6 weeks of therapy with a single anti-PD-1 agent (ie, primary anti-PD-1 ICI resistance), combination ipilimumab plus nivolu</t>
  </si>
  <si>
    <t>1157</t>
  </si>
  <si>
    <t>In the surveillance of patients with uveal melanoma, liver monitoring is recommended, which may be tailored to the patient's risk of recurrence (LE:2).</t>
  </si>
  <si>
    <t>1158</t>
  </si>
  <si>
    <t>sitc_renal_cell_carcinoma_immunotherapy_2026</t>
  </si>
  <si>
    <t>https://doi.org/10.1136/jitc-2025-013788</t>
  </si>
  <si>
    <t>For patients with treatment-naive metastatic RCC, clinical trial enrollment should be encouraged, when available.</t>
  </si>
  <si>
    <t>Not graded (Expert Panel consensus)</t>
  </si>
  <si>
    <t>1159</t>
  </si>
  <si>
    <t>For patients with gynecologic cancer, CA125 has limited utility in disease monitoring in patients undergoing ICI therapy.</t>
  </si>
  <si>
    <t>LE:4</t>
  </si>
  <si>
    <t>1160</t>
  </si>
  <si>
    <t>sitc_immune_checkpoint_inhibitor_related_adverse_2021</t>
  </si>
  <si>
    <t>Society for Immunotherapy of Cancer (SITC) clinical practice guideline on immune checkpoint inhibito</t>
  </si>
  <si>
    <t>https://doi.org/10.1136/jitc-2021-002435</t>
  </si>
  <si>
    <t>For patients with ICI-related secondary HLH, hematological consultation is required; standard of care treatment typically involves steroids and immunosuppressives such as etoposide or tocilizumab.</t>
  </si>
  <si>
    <t>1161</t>
  </si>
  <si>
    <t>For second-line treatment of patients with TMB-H/pMMR/MSS endometrial cancer, pembrolizumab plus lenvatinib is the standard of care option.</t>
  </si>
  <si>
    <t>1162</t>
  </si>
  <si>
    <t>smfm_sickle_cell_disease_pregnancy_2024</t>
  </si>
  <si>
    <t>SMFM</t>
  </si>
  <si>
    <t>Society for Maternal-Fetal Medicine Consult Series #68: Sickle cell disease in pregnancy</t>
  </si>
  <si>
    <t>https://doi.org/10.1016/j.ajog.2023.10.031</t>
  </si>
  <si>
    <t>For patients with uncomplicated SCD and a normally grown fetus, we suggest weekly or twice-weekly antenatal testing beginning at 32 to 34 weeks of gestation. For patients with complicated SCD (i.e., m</t>
  </si>
  <si>
    <t>1163</t>
  </si>
  <si>
    <t>We recommend following evidence-based guidelines for the management of chronic and acute pain during pregnancy.</t>
  </si>
  <si>
    <t>Best practice</t>
  </si>
  <si>
    <t>1164</t>
  </si>
  <si>
    <t>We recommend prenatal vitamins without iron unless iron deficiency is confirmed and initiation of 4 mg of folic acid for pregnant patients with SCD.</t>
  </si>
  <si>
    <t>1165</t>
  </si>
  <si>
    <t>wao_cma_formulas_2024</t>
  </si>
  <si>
    <t>WAO</t>
  </si>
  <si>
    <t>WAO DRACMA guideline update - Recommendations on milk formula supplements for CMA</t>
  </si>
  <si>
    <t>https://doi.org/10.1016/j.waojou.2024.100888</t>
  </si>
  <si>
    <t>When choosing a formula in infants with non-IgE-mediated CMA who are not being breastfed, we suggest an extensively hydrolyzed (cow's milk) formula or hydrolyzed rice formula as the first option, amin</t>
  </si>
  <si>
    <t>1166</t>
  </si>
  <si>
    <t>When choosing a formula in infants with IgE-mediated CMA who are not being breastfed, we suggest an extensively hydrolyzed (cow's milk) formula or a hydrolyzed rice formula as the first option, amino-</t>
  </si>
  <si>
    <t>1167</t>
  </si>
  <si>
    <t>When choosing a formula with or without a probiotic for infants with non-IgE-mediated CMA, we suggest either a formula without a probiotic or casein-based eHF-CM containing Lacticaseibacillus rhamnosu</t>
  </si>
  <si>
    <t>1168</t>
  </si>
  <si>
    <t>wfsbp_anxiety_ocd_ptsd_2023</t>
  </si>
  <si>
    <t>WFSBP</t>
  </si>
  <si>
    <t>WFSBP guidelines for treatment of anxiety, OCD and PTSD (3rd edition)</t>
  </si>
  <si>
    <t>https://doi.org/10.1080/15622975.2022.2086295</t>
  </si>
  <si>
    <t>SAD: The efficacy of phenelzine (irreversible MAOI) has been shown in RCTs, however, due to possible adverse effects and interactions with other drugs and foods, the drug should only be used when stan</t>
  </si>
  <si>
    <t>1169</t>
  </si>
  <si>
    <t>GAD: For opipramol (tricyclic anxiolytic), limited positive evidence is available (only one placebo- and comparator-controlled study). Long-term studies are lacking.</t>
  </si>
  <si>
    <t>1170</t>
  </si>
  <si>
    <t>PDA: Exercise was superior to pill placebo, but less effective than clomipramine. It should not be used as monotherapy, but as add-on to standard treatments.</t>
  </si>
  <si>
    <t>1171</t>
  </si>
  <si>
    <t xml:space="preserve">GAD: Data on the combination of CBT and drug treatment are inconclusive. CBT + diazepam is more effective than diazepam alone, but not more effective than CBT alone. Adding CBT to venlafaxine was not </t>
  </si>
  <si>
    <t>1172</t>
  </si>
  <si>
    <t>Specific phobias (spiders/small animals): Virtual reality exposure was superior to psychological placebo, while studies comparing virtual reality with in vivo exposure show conflicting results.</t>
  </si>
  <si>
    <t>1173</t>
  </si>
  <si>
    <t>wses_acute_appendicitis_2020</t>
  </si>
  <si>
    <t>WSES</t>
  </si>
  <si>
    <t>Diagnosis and treatment of acute appendicitis: 2020 update of the WSES Jerusalem guidelines</t>
  </si>
  <si>
    <t>https://doi.org/10.1186/s13017-020-00306-3</t>
  </si>
  <si>
    <t>We recommend the use of endoloops/suture ligation or polymeric clips for stump closure for both adults and children in either uncomplicated or complicated appendicitis, whereas endostaplers may be use</t>
  </si>
  <si>
    <t>1174</t>
  </si>
  <si>
    <t>We suggest proceeding with timely and systematic diagnostic imaging in patients with intermediate-risk of acute appendicitis (Recommendation 1.8).</t>
  </si>
  <si>
    <t>1175</t>
  </si>
  <si>
    <t>We suggest laparoscopic appendectomy in obese patients, older patients and patients with high peri- and postoperative risk factors (Recommendation 4.6).</t>
  </si>
  <si>
    <t>1176</t>
  </si>
  <si>
    <t>We recommend the use of contrast-enhanced low-dose CT scan over contrast-enhanced standard-dose CT scan for adolescents and young adults with suspected acute appendicitis and negative US findings (Rec</t>
  </si>
  <si>
    <t>1177</t>
  </si>
  <si>
    <t>wses_severe_acute_pancreatitis_2019</t>
  </si>
  <si>
    <t>2019 WSES guidelines for the management of severe acute pancreatitis</t>
  </si>
  <si>
    <t>https://doi.org/10.1186/s13017-019-0247-0</t>
  </si>
  <si>
    <t>Postponing surgical interventions for more than 4 weeks after the onset of the disease results in less mortality.</t>
  </si>
  <si>
    <t>1178</t>
  </si>
  <si>
    <t>We suggest discussing NOM with antibiotics as a safe and effective alternative to surgery in children with uncomplicated acute appendicitis in the absence of an appendicolith, advising of the possibil</t>
  </si>
  <si>
    <t>1179</t>
  </si>
  <si>
    <t>In pediatric patients with suspected appendicitis, we suggest the use of US as first-line imaging. In pediatric patients with inconclusive US, we suggest choosing the second-line imaging technique bas</t>
  </si>
  <si>
    <t>title</t>
  </si>
  <si>
    <t>source_url</t>
  </si>
  <si>
    <t>extracted_rec_count</t>
  </si>
  <si>
    <t>AAOHNS-SINUSITIS-2015</t>
  </si>
  <si>
    <t>Clinical Practice Guideline (Update): Adult Sinusitis</t>
  </si>
  <si>
    <t>https://doi.org/10.1177/0194599815572097</t>
  </si>
  <si>
    <t>acp_pharmacologic_treatment_of_primary_osteoporosis_or</t>
  </si>
  <si>
    <t>Pharmacologic Treatment of Primary Osteoporosis or Low Bone Mass to Prevent Fractures in Adults: A L</t>
  </si>
  <si>
    <t>https://doi.org/10.7326/M22-1034</t>
  </si>
  <si>
    <t>aga_pharmacological_interventions_obesity_2022</t>
  </si>
  <si>
    <t>AGA Clinical Practice Guideline on Pharmacological Interventions for Adults With Obesity</t>
  </si>
  <si>
    <t>https://doi.org/10.1053/j.gastro.2022.08.045</t>
  </si>
  <si>
    <t>asco_practical_assessment_and_management_of_vulnerabili</t>
  </si>
  <si>
    <t>Practical Assessment and Management of Vulnerabilities in Older Patients Receiving Systemic Cancer T</t>
  </si>
  <si>
    <t>https://doi.org/10.1200/JCO.23.00933</t>
  </si>
  <si>
    <t>bad_basal_cell_naevus_syndrome_gorlin_2022</t>
  </si>
  <si>
    <t>A guideline for the clinical management of basal cell naevus syndrome (Gorlin–Goltz syndrome)</t>
  </si>
  <si>
    <t>https://doi.org/10.1111/bjd.20700</t>
  </si>
  <si>
    <t>bsh_thrombophilia_testing_heritable_acquired_2022</t>
  </si>
  <si>
    <t>Thrombophilia testing: A British Society for Haematology guideline</t>
  </si>
  <si>
    <t>https://doi.org/10.1111/bjh.18239</t>
  </si>
  <si>
    <t>easl_extrahepatic_cholangiocarcinoma_2025</t>
  </si>
  <si>
    <t>EASL Clinical Practice Guidelines on the management of extrahepatic cholangiocarcinoma</t>
  </si>
  <si>
    <t>https://doi.org/10.1016/j.jhep.2025.03.007</t>
  </si>
  <si>
    <t>epa_cognitive_impairment_schizophrenia_2022</t>
  </si>
  <si>
    <t>European Psychiatric Association guidance on treatment of cognitive impairment in schizophrenia</t>
  </si>
  <si>
    <t>https://doi.org/10.1192/j.eurpsy.2022.2315</t>
  </si>
  <si>
    <t>ers_management_of_hospitalised_adults_with_coronavirus</t>
  </si>
  <si>
    <t>Management of hospitalised adults with coronavirus disease 2019 (COVID-19): a European Respiratory S</t>
  </si>
  <si>
    <t>https://doi.org/10.1183/13993003.00048-2021</t>
  </si>
  <si>
    <t>espghannas_pediatric_irritable_bowel_syndrome_functional_2025</t>
  </si>
  <si>
    <t>ESPGHAN/NASPGHAN guidelines for treatment of irritable bowel syndrome and functional abdominal pain-</t>
  </si>
  <si>
    <t>https://doi.org/10.1002/jpn3.70070</t>
  </si>
  <si>
    <t>EULAR_ra_management_2022</t>
  </si>
  <si>
    <t>EULAR recommendations for the management of rheumatoid arthritis with synthetic and biological disea</t>
  </si>
  <si>
    <t>https://doi.org/10.1136/ard-2022-223356</t>
  </si>
  <si>
    <t>euroguider_psoriasis_vulgaris_systemic_2020</t>
  </si>
  <si>
    <t>EuroGuiDerm Guideline on the systemic treatment of Psoriasis vulgaris - Part 1: treatment and monito</t>
  </si>
  <si>
    <t>https://doi.org/10.1111/jdv.16915</t>
  </si>
  <si>
    <t>ilae_inpatient_long_term_video_eeg_2022</t>
  </si>
  <si>
    <t>Minimum standards for inpatient long-term video-EEG monitoring: A clinical practice guideline of the</t>
  </si>
  <si>
    <t>https://doi.org/10.1016/j.clinph.2021.07.016</t>
  </si>
  <si>
    <t>wses_iatrogenic_urinary_tract_injuries_during_2023</t>
  </si>
  <si>
    <t>2023 WSES guidelines for the prevention, detection, and management of iatrogenic urinary tract injur</t>
  </si>
  <si>
    <t>https://doi.org/10.1186/s13017-023-00513-8</t>
  </si>
  <si>
    <t>Total:</t>
  </si>
  <si>
    <t>Confirmed</t>
  </si>
  <si>
    <t>Correct Value</t>
  </si>
  <si>
    <t>Two recommendations collapsed into one</t>
  </si>
  <si>
    <t>Double counting of LoE</t>
  </si>
  <si>
    <t>Not a formal recommendation</t>
  </si>
  <si>
    <t>Total Number</t>
  </si>
  <si>
    <t>Missing</t>
  </si>
  <si>
    <t>% Correct</t>
  </si>
  <si>
    <t>% Errors</t>
  </si>
  <si>
    <t>Not identified</t>
  </si>
  <si>
    <t>From previous guideline edition</t>
  </si>
  <si>
    <t>reviewer_rec_count</t>
  </si>
  <si>
    <t>match</t>
  </si>
  <si>
    <t>deviation_percent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</si>
</sst>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7">
    <font>
      <sz val="12"/>
      <color theme="1"/>
      <name val="Aptos Narrow"/>
      <scheme val="minor"/>
    </font>
    <font>
      <sz val="12"/>
      <color theme="1"/>
      <name val="Aptos Narrow"/>
    </font>
    <font>
      <sz val="12"/>
      <color theme="1"/>
      <name val="Aptos Narrow"/>
      <scheme val="minor"/>
    </font>
    <font>
      <sz val="12"/>
      <color rgb="FF9C5700"/>
      <name val="Aptos Narrow"/>
    </font>
    <font>
      <sz val="12"/>
      <color theme="1"/>
      <name val="Arial"/>
    </font>
    <font>
      <u/>
      <sz val="12"/>
      <color theme="10"/>
      <name val="Aptos Narrow"/>
    </font>
    <font>
      <sz val="12"/>
      <color theme="1"/>
      <name val="Arial"/>
    </font>
    <font>
      <u/>
      <sz val="12"/>
      <color theme="10"/>
      <name val="Aptos Narrow"/>
    </font>
    <font>
      <u/>
      <sz val="12"/>
      <color rgb="FF0000FF"/>
      <name val="Arial"/>
    </font>
    <font>
      <u/>
      <sz val="12"/>
      <color rgb="FF0000FF"/>
      <name val="Arial"/>
    </font>
    <font>
      <u/>
      <sz val="12"/>
      <color rgb="FF467886"/>
      <name val="Arial"/>
    </font>
    <font>
      <sz val="12"/>
      <color rgb="FF000000"/>
      <name val="&quot;Aptos Narrow&quot;"/>
    </font>
    <font>
      <u/>
      <sz val="12"/>
      <color rgb="FF0000FF"/>
      <name val="Arial"/>
    </font>
    <font>
      <sz val="12"/>
      <color rgb="FF000000"/>
      <name val="Arial"/>
    </font>
    <font>
      <u/>
      <sz val="12"/>
      <color rgb="FF0000FF"/>
      <name val="&quot;Aptos Narrow&quot;"/>
    </font>
    <font>
      <u/>
      <sz val="12"/>
      <color rgb="FF1155CC"/>
      <name val="&quot;Aptos Narrow&quot;, sans-serif"/>
    </font>
    <font>
      <sz val="12"/>
      <color theme="1"/>
      <name val="Arial"/>
      <family val="2"/>
    </font>
  </fonts>
  <fills count="4">
    <fill>
      <patternFill patternType="none"/>
    </fill>
    <fill>
      <patternFill patternType="gray125"/>
    </fill>
    <fill>
      <patternFill patternType="solid">
        <fgColor rgb="FFFFEB9C"/>
        <bgColor rgb="FFFFEB9C"/>
      </patternFill>
    </fill>
    <fill>
      <patternFill patternType="solid">
        <fgColor theme="9" tint="0.59999389629810485"/>
        <bgColor rgb="FF00FFFF"/>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xf>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0" borderId="0" xfId="0" applyFont="1" applyAlignment="1">
      <alignment horizontal="center"/>
    </xf>
    <xf numFmtId="0" fontId="7" fillId="0" borderId="0" xfId="0" applyFont="1"/>
    <xf numFmtId="0" fontId="8" fillId="0" borderId="0" xfId="0" applyFont="1"/>
    <xf numFmtId="0" fontId="9" fillId="0" borderId="0" xfId="0" applyFont="1"/>
    <xf numFmtId="0" fontId="10" fillId="0" borderId="0" xfId="0" applyFont="1"/>
    <xf numFmtId="0" fontId="4" fillId="0" borderId="0" xfId="0" applyFont="1" applyAlignment="1">
      <alignment horizontal="center"/>
    </xf>
    <xf numFmtId="0" fontId="11" fillId="0" borderId="0" xfId="0" applyFont="1"/>
    <xf numFmtId="0" fontId="12" fillId="0" borderId="0" xfId="0" applyFont="1"/>
    <xf numFmtId="0" fontId="13" fillId="0" borderId="0" xfId="0" applyFont="1" applyAlignment="1">
      <alignment horizontal="center"/>
    </xf>
    <xf numFmtId="0" fontId="14" fillId="0" borderId="0" xfId="0" applyFont="1"/>
    <xf numFmtId="0" fontId="11" fillId="0" borderId="0" xfId="0" applyFont="1" applyAlignment="1">
      <alignment horizontal="center"/>
    </xf>
    <xf numFmtId="1" fontId="1" fillId="0" borderId="0" xfId="0" applyNumberFormat="1" applyFont="1"/>
    <xf numFmtId="165" fontId="1" fillId="0" borderId="0" xfId="0" applyNumberFormat="1" applyFont="1"/>
    <xf numFmtId="0" fontId="1" fillId="0" borderId="0" xfId="0" applyFont="1" applyAlignment="1">
      <alignment vertical="center"/>
    </xf>
    <xf numFmtId="0" fontId="16" fillId="0" borderId="0" xfId="0" applyFont="1" applyAlignment="1">
      <alignment horizontal="center"/>
    </xf>
    <xf numFmtId="0" fontId="0" fillId="0" borderId="0" xfId="0" applyFill="1"/>
    <xf numFmtId="0" fontId="2" fillId="3" borderId="2" xfId="0" applyFont="1" applyFill="1" applyBorder="1"/>
    <xf numFmtId="10" fontId="1" fillId="3" borderId="2" xfId="0" applyNumberFormat="1" applyFont="1" applyFill="1" applyBorder="1"/>
    <xf numFmtId="0" fontId="1" fillId="3" borderId="2" xfId="0" applyFont="1" applyFill="1" applyBorder="1" applyAlignment="1">
      <alignment horizontal="center"/>
    </xf>
    <xf numFmtId="164" fontId="1" fillId="3" borderId="2" xfId="0" applyNumberFormat="1" applyFont="1" applyFill="1" applyBorder="1"/>
  </cellXfs>
  <cellStyles count="1">
    <cellStyle name="Normal" xfId="0" builtinId="0"/>
  </cellStyles>
  <dxfs count="2">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2337/dc25-S010" TargetMode="External"/><Relationship Id="rId671" Type="http://schemas.openxmlformats.org/officeDocument/2006/relationships/hyperlink" Target="https://doi.org/10.1093/cid/cix636" TargetMode="External"/><Relationship Id="rId21" Type="http://schemas.openxmlformats.org/officeDocument/2006/relationships/hyperlink" Target="https://www.aaos.org/globalassets/quality-and-practice-resources/acute-compartment-syndrome/2025-acs-rapid-update/acs-cpg-2025.pdf" TargetMode="External"/><Relationship Id="rId324" Type="http://schemas.openxmlformats.org/officeDocument/2006/relationships/hyperlink" Target="https://doi.org/10.1200/JCO.20.03237" TargetMode="External"/><Relationship Id="rId531" Type="http://schemas.openxmlformats.org/officeDocument/2006/relationships/hyperlink" Target="https://doi.org/10.1136/ijgc-2023-004429" TargetMode="External"/><Relationship Id="rId629" Type="http://schemas.openxmlformats.org/officeDocument/2006/relationships/hyperlink" Target="https://doi.org/10.1016/j.esmoop.2024.104121" TargetMode="External"/><Relationship Id="rId170" Type="http://schemas.openxmlformats.org/officeDocument/2006/relationships/hyperlink" Target="https://doi.org/10.1016/j.jacc.2025.09.006" TargetMode="External"/><Relationship Id="rId268" Type="http://schemas.openxmlformats.org/officeDocument/2006/relationships/hyperlink" Target="https://doi.org/10.1016/j.jacc.2022.08.004" TargetMode="External"/><Relationship Id="rId475" Type="http://schemas.openxmlformats.org/officeDocument/2006/relationships/hyperlink" Target="https://doi.org/10.1093/ejendo/lvaf239" TargetMode="External"/><Relationship Id="rId682" Type="http://schemas.openxmlformats.org/officeDocument/2006/relationships/hyperlink" Target="https://doi.org/10.1093/cid/cix1084" TargetMode="External"/><Relationship Id="rId32" Type="http://schemas.openxmlformats.org/officeDocument/2006/relationships/hyperlink" Target="https://doi.org/10.1542/peds.2024-068752" TargetMode="External"/><Relationship Id="rId128" Type="http://schemas.openxmlformats.org/officeDocument/2006/relationships/hyperlink" Target="https://doi.org/10.2337/dc25-S010" TargetMode="External"/><Relationship Id="rId335" Type="http://schemas.openxmlformats.org/officeDocument/2006/relationships/hyperlink" Target="https://doi.org/10.1200/JGO.18.00213" TargetMode="External"/><Relationship Id="rId542" Type="http://schemas.openxmlformats.org/officeDocument/2006/relationships/hyperlink" Target="https://doi.org/10.1136/ijgc-2023-004429" TargetMode="External"/><Relationship Id="rId181" Type="http://schemas.openxmlformats.org/officeDocument/2006/relationships/hyperlink" Target="https://doi.org/10.1016/j.jacc.2017.03.003" TargetMode="External"/><Relationship Id="rId402" Type="http://schemas.openxmlformats.org/officeDocument/2006/relationships/hyperlink" Target="https://doi.org/10.1136/bmjresp-2016-000170" TargetMode="External"/><Relationship Id="rId279" Type="http://schemas.openxmlformats.org/officeDocument/2006/relationships/hyperlink" Target="https://doi.org/10.1016/j.jacc.2020.11.018" TargetMode="External"/><Relationship Id="rId486" Type="http://schemas.openxmlformats.org/officeDocument/2006/relationships/hyperlink" Target="https://doi.org/10.1530/EJE-17-0430" TargetMode="External"/><Relationship Id="rId43" Type="http://schemas.openxmlformats.org/officeDocument/2006/relationships/hyperlink" Target="https://doi.org/10.1097/HEP.0000000000000466" TargetMode="External"/><Relationship Id="rId139" Type="http://schemas.openxmlformats.org/officeDocument/2006/relationships/hyperlink" Target="https://doi.org/10.5698/1535-7597-16.1.48" TargetMode="External"/><Relationship Id="rId346" Type="http://schemas.openxmlformats.org/officeDocument/2006/relationships/hyperlink" Target="https://doi.org/10.1182/bloodadvances.2019000975" TargetMode="External"/><Relationship Id="rId553" Type="http://schemas.openxmlformats.org/officeDocument/2006/relationships/hyperlink" Target="https://doi.org/10.1093/humrep/dew027" TargetMode="External"/><Relationship Id="rId192" Type="http://schemas.openxmlformats.org/officeDocument/2006/relationships/hyperlink" Target="https://doi.org/10.1016/j.jacc.2017.10.054" TargetMode="External"/><Relationship Id="rId206" Type="http://schemas.openxmlformats.org/officeDocument/2006/relationships/hyperlink" Target="https://doi.org/10.1016/j.jacc.2023.08.017" TargetMode="External"/><Relationship Id="rId413" Type="http://schemas.openxmlformats.org/officeDocument/2006/relationships/hyperlink" Target="https://doi.org/10.1136/bmjresp-2018-000348" TargetMode="External"/><Relationship Id="rId497" Type="http://schemas.openxmlformats.org/officeDocument/2006/relationships/hyperlink" Target="https://doi.org/10.1055/a-1717-1391" TargetMode="External"/><Relationship Id="rId620" Type="http://schemas.openxmlformats.org/officeDocument/2006/relationships/hyperlink" Target="https://doi.org/10.1007/s12094-025-04163-x" TargetMode="External"/><Relationship Id="rId357" Type="http://schemas.openxmlformats.org/officeDocument/2006/relationships/hyperlink" Target="https://doi.org/10.1136/gutjnl-2024-334395" TargetMode="External"/><Relationship Id="rId54" Type="http://schemas.openxmlformats.org/officeDocument/2006/relationships/hyperlink" Target="https://doi.org/10.14309/ajg.0000000000000486" TargetMode="External"/><Relationship Id="rId217" Type="http://schemas.openxmlformats.org/officeDocument/2006/relationships/hyperlink" Target="https://doi.org/10.1016/j.jacc.2022.08.004" TargetMode="External"/><Relationship Id="rId564" Type="http://schemas.openxmlformats.org/officeDocument/2006/relationships/hyperlink" Target="https://doi.org/10.1093/humrep/dead150" TargetMode="External"/><Relationship Id="rId424" Type="http://schemas.openxmlformats.org/officeDocument/2006/relationships/hyperlink" Target="https://doi.org/10.1136/bmjresp-2016-000170" TargetMode="External"/><Relationship Id="rId631" Type="http://schemas.openxmlformats.org/officeDocument/2006/relationships/hyperlink" Target="https://doi.org/10.1016/j.annonc.2025.08.003" TargetMode="External"/><Relationship Id="rId270" Type="http://schemas.openxmlformats.org/officeDocument/2006/relationships/hyperlink" Target="https://doi.org/10.1016/j.jacc.2020.11.018" TargetMode="External"/><Relationship Id="rId65" Type="http://schemas.openxmlformats.org/officeDocument/2006/relationships/hyperlink" Target="https://doi.org/10.1038/ajg.2016.28" TargetMode="External"/><Relationship Id="rId130" Type="http://schemas.openxmlformats.org/officeDocument/2006/relationships/hyperlink" Target="https://doi.org/10.2337/dc25-S004" TargetMode="External"/><Relationship Id="rId368" Type="http://schemas.openxmlformats.org/officeDocument/2006/relationships/hyperlink" Target="https://doi.org/10.1136/gutjnl-2023-330396" TargetMode="External"/><Relationship Id="rId575" Type="http://schemas.openxmlformats.org/officeDocument/2006/relationships/hyperlink" Target="https://doi.org/10.1093/humrep/deag018" TargetMode="External"/><Relationship Id="rId228" Type="http://schemas.openxmlformats.org/officeDocument/2006/relationships/hyperlink" Target="https://doi.org/10.1016/j.jacc.2023.08.017" TargetMode="External"/><Relationship Id="rId435" Type="http://schemas.openxmlformats.org/officeDocument/2006/relationships/hyperlink" Target="https://doi.org/10.1093/eurheartj/ehac244" TargetMode="External"/><Relationship Id="rId642" Type="http://schemas.openxmlformats.org/officeDocument/2006/relationships/hyperlink" Target="https://doi.org/10.1093/ejendo/lvae050" TargetMode="External"/><Relationship Id="rId281" Type="http://schemas.openxmlformats.org/officeDocument/2006/relationships/hyperlink" Target="https://doi.org/10.1016/j.jacc.2025.11.005" TargetMode="External"/><Relationship Id="rId502" Type="http://schemas.openxmlformats.org/officeDocument/2006/relationships/hyperlink" Target="https://doi.org/10.1055/a-1811-7025" TargetMode="External"/><Relationship Id="rId76" Type="http://schemas.openxmlformats.org/officeDocument/2006/relationships/hyperlink" Target="https://doi.org/10.1097/AOG.0000000000004082" TargetMode="External"/><Relationship Id="rId141" Type="http://schemas.openxmlformats.org/officeDocument/2006/relationships/hyperlink" Target="https://doi.org/10.1053/j.gastro.2023.09.029" TargetMode="External"/><Relationship Id="rId379" Type="http://schemas.openxmlformats.org/officeDocument/2006/relationships/hyperlink" Target="https://doi.org/10.1136/gutjnl-2019-319915" TargetMode="External"/><Relationship Id="rId586" Type="http://schemas.openxmlformats.org/officeDocument/2006/relationships/hyperlink" Target="https://doi.org/10.1016/j.esmoop.2022.100602" TargetMode="External"/><Relationship Id="rId7" Type="http://schemas.openxmlformats.org/officeDocument/2006/relationships/hyperlink" Target="https://doi.org/10.1177/0194599817751030" TargetMode="External"/><Relationship Id="rId239" Type="http://schemas.openxmlformats.org/officeDocument/2006/relationships/hyperlink" Target="https://doi.org/10.1016/j.jacc.2024.06.013" TargetMode="External"/><Relationship Id="rId446" Type="http://schemas.openxmlformats.org/officeDocument/2006/relationships/hyperlink" Target="https://doi.org/10.1093/eurheartj/ehad194" TargetMode="External"/><Relationship Id="rId653" Type="http://schemas.openxmlformats.org/officeDocument/2006/relationships/hyperlink" Target="https://doi.org/10.1093/ejendo/lvae050" TargetMode="External"/><Relationship Id="rId292" Type="http://schemas.openxmlformats.org/officeDocument/2006/relationships/hyperlink" Target="https://doi.org/10.1016/j.jacc.2015.08.856" TargetMode="External"/><Relationship Id="rId306" Type="http://schemas.openxmlformats.org/officeDocument/2006/relationships/hyperlink" Target="https://doi.org/10.1200/JCO.20.03237" TargetMode="External"/><Relationship Id="rId87" Type="http://schemas.openxmlformats.org/officeDocument/2006/relationships/hyperlink" Target="https://doi.org/10.1002/art.41042" TargetMode="External"/><Relationship Id="rId513" Type="http://schemas.openxmlformats.org/officeDocument/2006/relationships/hyperlink" Target="https://doi.org/10.1055/a-1331-8080" TargetMode="External"/><Relationship Id="rId597" Type="http://schemas.openxmlformats.org/officeDocument/2006/relationships/hyperlink" Target="https://doi.org/10.1016/j.esmoop.2021.100092" TargetMode="External"/><Relationship Id="rId152" Type="http://schemas.openxmlformats.org/officeDocument/2006/relationships/hyperlink" Target="https://doi.org/10.1016/j.jacc.2024.02.013" TargetMode="External"/><Relationship Id="rId457" Type="http://schemas.openxmlformats.org/officeDocument/2006/relationships/hyperlink" Target="https://doi.org/10.1530/EJE-21-0479" TargetMode="External"/><Relationship Id="rId664" Type="http://schemas.openxmlformats.org/officeDocument/2006/relationships/hyperlink" Target="https://doi.org/10.1093/cid/ciy866" TargetMode="External"/><Relationship Id="rId14" Type="http://schemas.openxmlformats.org/officeDocument/2006/relationships/hyperlink" Target="https://doi.org/10.5435/JAAOS-D-19-00109" TargetMode="External"/><Relationship Id="rId317" Type="http://schemas.openxmlformats.org/officeDocument/2006/relationships/hyperlink" Target="https://doi.org/10.1200/JCO.22.00520" TargetMode="External"/><Relationship Id="rId524" Type="http://schemas.openxmlformats.org/officeDocument/2006/relationships/hyperlink" Target="https://doi.org/10.1055/a-1397-3198" TargetMode="External"/><Relationship Id="rId98" Type="http://schemas.openxmlformats.org/officeDocument/2006/relationships/hyperlink" Target="https://doi.org/10.1002/art.42860" TargetMode="External"/><Relationship Id="rId163" Type="http://schemas.openxmlformats.org/officeDocument/2006/relationships/hyperlink" Target="https://doi.org/10.1016/j.jacc.2022.08.004" TargetMode="External"/><Relationship Id="rId370" Type="http://schemas.openxmlformats.org/officeDocument/2006/relationships/hyperlink" Target="https://doi.org/10.1136/gutjnl-2019-319915" TargetMode="External"/><Relationship Id="rId230" Type="http://schemas.openxmlformats.org/officeDocument/2006/relationships/hyperlink" Target="https://doi.org/10.1016/j.jacc.2018.10.044" TargetMode="External"/><Relationship Id="rId468" Type="http://schemas.openxmlformats.org/officeDocument/2006/relationships/hyperlink" Target="https://doi.org/10.1093/ejendo/lvad096" TargetMode="External"/><Relationship Id="rId675" Type="http://schemas.openxmlformats.org/officeDocument/2006/relationships/hyperlink" Target="https://doi.org/10.1093/cid/cix1084" TargetMode="External"/><Relationship Id="rId25" Type="http://schemas.openxmlformats.org/officeDocument/2006/relationships/hyperlink" Target="https://doi.org/10.5435/JAAOS-D-15-00006" TargetMode="External"/><Relationship Id="rId328" Type="http://schemas.openxmlformats.org/officeDocument/2006/relationships/hyperlink" Target="https://doi.org/10.1200/JCO.23.00293" TargetMode="External"/><Relationship Id="rId535" Type="http://schemas.openxmlformats.org/officeDocument/2006/relationships/hyperlink" Target="https://doi.org/10.1136/ijgc-2023-004429" TargetMode="External"/><Relationship Id="rId174" Type="http://schemas.openxmlformats.org/officeDocument/2006/relationships/hyperlink" Target="https://doi.org/10.1016/j.jacc.2020.11.018" TargetMode="External"/><Relationship Id="rId381" Type="http://schemas.openxmlformats.org/officeDocument/2006/relationships/hyperlink" Target="https://doi.org/10.1136/gutjnl-2024-334395" TargetMode="External"/><Relationship Id="rId602" Type="http://schemas.openxmlformats.org/officeDocument/2006/relationships/hyperlink" Target="https://doi.org/10.1002/hem3.89" TargetMode="External"/><Relationship Id="rId241" Type="http://schemas.openxmlformats.org/officeDocument/2006/relationships/hyperlink" Target="https://doi.org/10.1016/j.jacc.2015.08.856" TargetMode="External"/><Relationship Id="rId479" Type="http://schemas.openxmlformats.org/officeDocument/2006/relationships/hyperlink" Target="https://doi.org/10.1093/ejendo/lvad096" TargetMode="External"/><Relationship Id="rId36" Type="http://schemas.openxmlformats.org/officeDocument/2006/relationships/hyperlink" Target="https://doi.org/10.1542/peds.2016-0590" TargetMode="External"/><Relationship Id="rId339" Type="http://schemas.openxmlformats.org/officeDocument/2006/relationships/hyperlink" Target="https://doi.org/10.1097/DCR.0000000000003450" TargetMode="External"/><Relationship Id="rId546" Type="http://schemas.openxmlformats.org/officeDocument/2006/relationships/hyperlink" Target="https://doi.org/10.1093/humrep/deag018" TargetMode="External"/><Relationship Id="rId101" Type="http://schemas.openxmlformats.org/officeDocument/2006/relationships/hyperlink" Target="https://doi.org/10.1002/art.40726" TargetMode="External"/><Relationship Id="rId185" Type="http://schemas.openxmlformats.org/officeDocument/2006/relationships/hyperlink" Target="https://doi.org/10.1016/j.jacc.2022.08.004" TargetMode="External"/><Relationship Id="rId406" Type="http://schemas.openxmlformats.org/officeDocument/2006/relationships/hyperlink" Target="https://doi.org/10.1136/bmjresp-2018-000348" TargetMode="External"/><Relationship Id="rId392" Type="http://schemas.openxmlformats.org/officeDocument/2006/relationships/hyperlink" Target="https://doi.org/10.1093/rheumatology/keac115" TargetMode="External"/><Relationship Id="rId613" Type="http://schemas.openxmlformats.org/officeDocument/2006/relationships/hyperlink" Target="https://doi.org/10.1016/j.esmoop.2021.100092" TargetMode="External"/><Relationship Id="rId252" Type="http://schemas.openxmlformats.org/officeDocument/2006/relationships/hyperlink" Target="https://doi.org/10.1016/j.jacc.2021.12.012" TargetMode="External"/><Relationship Id="rId47" Type="http://schemas.openxmlformats.org/officeDocument/2006/relationships/hyperlink" Target="https://doi.org/10.1002/hep.28156" TargetMode="External"/><Relationship Id="rId112" Type="http://schemas.openxmlformats.org/officeDocument/2006/relationships/hyperlink" Target="https://doi.org/10.2337/dc25-S010" TargetMode="External"/><Relationship Id="rId557" Type="http://schemas.openxmlformats.org/officeDocument/2006/relationships/hyperlink" Target="https://doi.org/10.1093/humrep/deag018" TargetMode="External"/><Relationship Id="rId196" Type="http://schemas.openxmlformats.org/officeDocument/2006/relationships/hyperlink" Target="https://doi.org/10.1016/j.jacc.2023.04.003" TargetMode="External"/><Relationship Id="rId417" Type="http://schemas.openxmlformats.org/officeDocument/2006/relationships/hyperlink" Target="https://doi.org/10.1136/bmjresp-2018-000348" TargetMode="External"/><Relationship Id="rId624" Type="http://schemas.openxmlformats.org/officeDocument/2006/relationships/hyperlink" Target="https://doi.org/10.1016/j.esmoop.2024.103481" TargetMode="External"/><Relationship Id="rId263" Type="http://schemas.openxmlformats.org/officeDocument/2006/relationships/hyperlink" Target="https://doi.org/10.1016/j.jacc.2023.04.003" TargetMode="External"/><Relationship Id="rId470" Type="http://schemas.openxmlformats.org/officeDocument/2006/relationships/hyperlink" Target="https://doi.org/10.1530/EJE-16-0467" TargetMode="External"/><Relationship Id="rId58" Type="http://schemas.openxmlformats.org/officeDocument/2006/relationships/hyperlink" Target="https://doi.org/10.14309/ajg.0000000000002572" TargetMode="External"/><Relationship Id="rId123" Type="http://schemas.openxmlformats.org/officeDocument/2006/relationships/hyperlink" Target="https://doi.org/10.2337/dc25-S006" TargetMode="External"/><Relationship Id="rId330" Type="http://schemas.openxmlformats.org/officeDocument/2006/relationships/hyperlink" Target="https://doi.org/10.1200/JCO.2017.76.6394" TargetMode="External"/><Relationship Id="rId568" Type="http://schemas.openxmlformats.org/officeDocument/2006/relationships/hyperlink" Target="https://doi.org/10.1093/hropen/hoac009" TargetMode="External"/><Relationship Id="rId428" Type="http://schemas.openxmlformats.org/officeDocument/2006/relationships/hyperlink" Target="https://doi.org/10.1093/eurheartj/ehaa554" TargetMode="External"/><Relationship Id="rId635" Type="http://schemas.openxmlformats.org/officeDocument/2006/relationships/hyperlink" Target="https://doi.org/10.1093/ejendo/lvae050" TargetMode="External"/><Relationship Id="rId274" Type="http://schemas.openxmlformats.org/officeDocument/2006/relationships/hyperlink" Target="https://doi.org/10.1016/j.jacc.2023.04.003" TargetMode="External"/><Relationship Id="rId481" Type="http://schemas.openxmlformats.org/officeDocument/2006/relationships/hyperlink" Target="https://doi.org/10.1093/ejendo/lvaf239" TargetMode="External"/><Relationship Id="rId69" Type="http://schemas.openxmlformats.org/officeDocument/2006/relationships/hyperlink" Target="https://doi.org/10.14309/ajg.0000000000001874" TargetMode="External"/><Relationship Id="rId134" Type="http://schemas.openxmlformats.org/officeDocument/2006/relationships/hyperlink" Target="https://doi.org/10.2337/dc25-S009" TargetMode="External"/><Relationship Id="rId579" Type="http://schemas.openxmlformats.org/officeDocument/2006/relationships/hyperlink" Target="https://doi.org/10.1007/s00134-024-07369-9" TargetMode="External"/><Relationship Id="rId341" Type="http://schemas.openxmlformats.org/officeDocument/2006/relationships/hyperlink" Target="https://doi.org/10.1182/bloodadvances.2018024489" TargetMode="External"/><Relationship Id="rId439" Type="http://schemas.openxmlformats.org/officeDocument/2006/relationships/hyperlink" Target="https://doi.org/10.1093/eurheartj/ehab364" TargetMode="External"/><Relationship Id="rId646" Type="http://schemas.openxmlformats.org/officeDocument/2006/relationships/hyperlink" Target="https://doi.org/10.1210/jc.2018-01865" TargetMode="External"/><Relationship Id="rId201" Type="http://schemas.openxmlformats.org/officeDocument/2006/relationships/hyperlink" Target="https://doi.org/10.1016/j.jacc.2017.10.054" TargetMode="External"/><Relationship Id="rId285" Type="http://schemas.openxmlformats.org/officeDocument/2006/relationships/hyperlink" Target="https://doi.org/10.1016/j.jacc.2025.05.007" TargetMode="External"/><Relationship Id="rId506" Type="http://schemas.openxmlformats.org/officeDocument/2006/relationships/hyperlink" Target="https://doi.org/10.1055/a-1973-3796" TargetMode="External"/><Relationship Id="rId492" Type="http://schemas.openxmlformats.org/officeDocument/2006/relationships/hyperlink" Target="https://doi.org/10.1530/EJE-16-0033" TargetMode="External"/><Relationship Id="rId91" Type="http://schemas.openxmlformats.org/officeDocument/2006/relationships/hyperlink" Target="https://doi.org/10.1002/art.41247" TargetMode="External"/><Relationship Id="rId145" Type="http://schemas.openxmlformats.org/officeDocument/2006/relationships/hyperlink" Target="https://doi.org/10.1111/jgs.18372" TargetMode="External"/><Relationship Id="rId187" Type="http://schemas.openxmlformats.org/officeDocument/2006/relationships/hyperlink" Target="https://doi.org/10.1016/j.jacc.2024.06.013" TargetMode="External"/><Relationship Id="rId352" Type="http://schemas.openxmlformats.org/officeDocument/2006/relationships/hyperlink" Target="https://doi.org/10.1182/bloodadvances.2018022954" TargetMode="External"/><Relationship Id="rId394" Type="http://schemas.openxmlformats.org/officeDocument/2006/relationships/hyperlink" Target="https://doi.org/10.1093/rheumatology/keac551" TargetMode="External"/><Relationship Id="rId408" Type="http://schemas.openxmlformats.org/officeDocument/2006/relationships/hyperlink" Target="https://doi.org/10.1136/bmjresp-2018-000348" TargetMode="External"/><Relationship Id="rId615" Type="http://schemas.openxmlformats.org/officeDocument/2006/relationships/hyperlink" Target="https://doi.org/10.1016/j.esmoop.2024.103496" TargetMode="External"/><Relationship Id="rId212" Type="http://schemas.openxmlformats.org/officeDocument/2006/relationships/hyperlink" Target="https://doi.org/10.1016/j.jacc.2022.08.004" TargetMode="External"/><Relationship Id="rId254" Type="http://schemas.openxmlformats.org/officeDocument/2006/relationships/hyperlink" Target="https://doi.org/10.1016/j.jacc.2024.06.013" TargetMode="External"/><Relationship Id="rId657" Type="http://schemas.openxmlformats.org/officeDocument/2006/relationships/hyperlink" Target="https://doi.org/10.1210/jc.2018-00229" TargetMode="External"/><Relationship Id="rId49" Type="http://schemas.openxmlformats.org/officeDocument/2006/relationships/hyperlink" Target="https://doi.org/10.1097/HEP.0000000000000466" TargetMode="External"/><Relationship Id="rId114" Type="http://schemas.openxmlformats.org/officeDocument/2006/relationships/hyperlink" Target="https://doi.org/10.2337/dc25-S016" TargetMode="External"/><Relationship Id="rId296" Type="http://schemas.openxmlformats.org/officeDocument/2006/relationships/hyperlink" Target="https://doi.org/10.1016/j.jacc.2017.03.003" TargetMode="External"/><Relationship Id="rId461" Type="http://schemas.openxmlformats.org/officeDocument/2006/relationships/hyperlink" Target="https://doi.org/10.1530/EJE-18-0608" TargetMode="External"/><Relationship Id="rId517" Type="http://schemas.openxmlformats.org/officeDocument/2006/relationships/hyperlink" Target="https://doi.org/10.1055/a-1075-4080" TargetMode="External"/><Relationship Id="rId559" Type="http://schemas.openxmlformats.org/officeDocument/2006/relationships/hyperlink" Target="https://doi.org/10.1093/hropen/hoac009" TargetMode="External"/><Relationship Id="rId60" Type="http://schemas.openxmlformats.org/officeDocument/2006/relationships/hyperlink" Target="https://doi.org/10.14309/ajg.0000000000000535" TargetMode="External"/><Relationship Id="rId156" Type="http://schemas.openxmlformats.org/officeDocument/2006/relationships/hyperlink" Target="https://doi.org/10.1016/j.jacc.2024.02.013" TargetMode="External"/><Relationship Id="rId198" Type="http://schemas.openxmlformats.org/officeDocument/2006/relationships/hyperlink" Target="https://doi.org/10.1016/j.jacc.2017.03.003" TargetMode="External"/><Relationship Id="rId321" Type="http://schemas.openxmlformats.org/officeDocument/2006/relationships/hyperlink" Target="https://doi.org/10.1200/JGO.18.00213" TargetMode="External"/><Relationship Id="rId363" Type="http://schemas.openxmlformats.org/officeDocument/2006/relationships/hyperlink" Target="https://doi.org/10.1136/gutjnl-2023-330029" TargetMode="External"/><Relationship Id="rId419" Type="http://schemas.openxmlformats.org/officeDocument/2006/relationships/hyperlink" Target="https://doi.org/10.1136/bmjresp-2016-000170" TargetMode="External"/><Relationship Id="rId570" Type="http://schemas.openxmlformats.org/officeDocument/2006/relationships/hyperlink" Target="https://doi.org/10.1093/hropen/hoac009" TargetMode="External"/><Relationship Id="rId626" Type="http://schemas.openxmlformats.org/officeDocument/2006/relationships/hyperlink" Target="https://doi.org/10.1002/hem3.70128" TargetMode="External"/><Relationship Id="rId223" Type="http://schemas.openxmlformats.org/officeDocument/2006/relationships/hyperlink" Target="https://doi.org/10.1016/j.jacc.2020.11.018" TargetMode="External"/><Relationship Id="rId430" Type="http://schemas.openxmlformats.org/officeDocument/2006/relationships/hyperlink" Target="https://doi.org/10.1093/eurheartj/ehae177" TargetMode="External"/><Relationship Id="rId668" Type="http://schemas.openxmlformats.org/officeDocument/2006/relationships/hyperlink" Target="https://doi.org/10.1093/ajhp/zxaa036" TargetMode="External"/><Relationship Id="rId18" Type="http://schemas.openxmlformats.org/officeDocument/2006/relationships/hyperlink" Target="https://doi.org/10.5435/JAAOS-D-22-00125" TargetMode="External"/><Relationship Id="rId265" Type="http://schemas.openxmlformats.org/officeDocument/2006/relationships/hyperlink" Target="https://doi.org/10.1016/j.jacc.2025.11.005" TargetMode="External"/><Relationship Id="rId472" Type="http://schemas.openxmlformats.org/officeDocument/2006/relationships/hyperlink" Target="https://doi.org/10.1530/EJE-18-0608" TargetMode="External"/><Relationship Id="rId528" Type="http://schemas.openxmlformats.org/officeDocument/2006/relationships/hyperlink" Target="https://doi.org/10.1136/ijgc-2023-004429" TargetMode="External"/><Relationship Id="rId125" Type="http://schemas.openxmlformats.org/officeDocument/2006/relationships/hyperlink" Target="https://doi.org/10.2337/dc25-S008" TargetMode="External"/><Relationship Id="rId167" Type="http://schemas.openxmlformats.org/officeDocument/2006/relationships/hyperlink" Target="https://doi.org/10.1016/j.jacc.2025.09.006" TargetMode="External"/><Relationship Id="rId332" Type="http://schemas.openxmlformats.org/officeDocument/2006/relationships/hyperlink" Target="https://doi.org/10.1200/JCO.20.03364" TargetMode="External"/><Relationship Id="rId374" Type="http://schemas.openxmlformats.org/officeDocument/2006/relationships/hyperlink" Target="https://doi.org/10.1136/gutjnl-2024-334395" TargetMode="External"/><Relationship Id="rId581" Type="http://schemas.openxmlformats.org/officeDocument/2006/relationships/hyperlink" Target="https://doi.org/10.1016/j.annonc.2025.08.003" TargetMode="External"/><Relationship Id="rId71" Type="http://schemas.openxmlformats.org/officeDocument/2006/relationships/hyperlink" Target="https://doi.org/10.14309/ajg.0000000000000535" TargetMode="External"/><Relationship Id="rId234" Type="http://schemas.openxmlformats.org/officeDocument/2006/relationships/hyperlink" Target="https://doi.org/10.1016/j.jacc.2022.08.004" TargetMode="External"/><Relationship Id="rId637" Type="http://schemas.openxmlformats.org/officeDocument/2006/relationships/hyperlink" Target="https://doi.org/10.1210/jc.2017-01658" TargetMode="External"/><Relationship Id="rId679" Type="http://schemas.openxmlformats.org/officeDocument/2006/relationships/hyperlink" Target="https://doi.org/10.1093/cid/ciy866" TargetMode="External"/><Relationship Id="rId2" Type="http://schemas.openxmlformats.org/officeDocument/2006/relationships/hyperlink" Target="https://doi.org/10.1212/WNL.0000000000008095" TargetMode="External"/><Relationship Id="rId29" Type="http://schemas.openxmlformats.org/officeDocument/2006/relationships/hyperlink" Target="https://doi.org/10.1542/peds.2022-058859" TargetMode="External"/><Relationship Id="rId276" Type="http://schemas.openxmlformats.org/officeDocument/2006/relationships/hyperlink" Target="https://doi.org/10.1016/j.jacc.2023.04.003" TargetMode="External"/><Relationship Id="rId441" Type="http://schemas.openxmlformats.org/officeDocument/2006/relationships/hyperlink" Target="https://doi.org/10.1093/eurheartj/ehac270" TargetMode="External"/><Relationship Id="rId483" Type="http://schemas.openxmlformats.org/officeDocument/2006/relationships/hyperlink" Target="https://doi.org/10.1093/ejendo/lvaf239" TargetMode="External"/><Relationship Id="rId539" Type="http://schemas.openxmlformats.org/officeDocument/2006/relationships/hyperlink" Target="https://doi.org/10.1136/ijgc-2023-004429" TargetMode="External"/><Relationship Id="rId40" Type="http://schemas.openxmlformats.org/officeDocument/2006/relationships/hyperlink" Target="https://doi.org/10.1002/hep.27210" TargetMode="External"/><Relationship Id="rId136" Type="http://schemas.openxmlformats.org/officeDocument/2006/relationships/hyperlink" Target="https://doi.org/10.2337/dc25-S004" TargetMode="External"/><Relationship Id="rId178" Type="http://schemas.openxmlformats.org/officeDocument/2006/relationships/hyperlink" Target="https://doi.org/10.1016/j.jacc.2023.08.017" TargetMode="External"/><Relationship Id="rId301" Type="http://schemas.openxmlformats.org/officeDocument/2006/relationships/hyperlink" Target="https://doi.org/10.1176/appi.ajp.23180001" TargetMode="External"/><Relationship Id="rId343" Type="http://schemas.openxmlformats.org/officeDocument/2006/relationships/hyperlink" Target="https://doi.org/10.1182/bloodadvances.2019000966" TargetMode="External"/><Relationship Id="rId550" Type="http://schemas.openxmlformats.org/officeDocument/2006/relationships/hyperlink" Target="https://doi.org/10.1093/humrep/deae010" TargetMode="External"/><Relationship Id="rId82" Type="http://schemas.openxmlformats.org/officeDocument/2006/relationships/hyperlink" Target="https://doi.org/10.1002/art.41247" TargetMode="External"/><Relationship Id="rId203" Type="http://schemas.openxmlformats.org/officeDocument/2006/relationships/hyperlink" Target="https://doi.org/10.1016/j.jacc.2024.02.014" TargetMode="External"/><Relationship Id="rId385" Type="http://schemas.openxmlformats.org/officeDocument/2006/relationships/hyperlink" Target="https://doi.org/10.1111/bjh.15647" TargetMode="External"/><Relationship Id="rId592" Type="http://schemas.openxmlformats.org/officeDocument/2006/relationships/hyperlink" Target="https://doi.org/10.1016/j.esmoop.2022.100602" TargetMode="External"/><Relationship Id="rId606" Type="http://schemas.openxmlformats.org/officeDocument/2006/relationships/hyperlink" Target="https://doi.org/10.1007/s12094-025-04163-x" TargetMode="External"/><Relationship Id="rId648" Type="http://schemas.openxmlformats.org/officeDocument/2006/relationships/hyperlink" Target="https://doi.org/10.1093/ejendo/lvae050" TargetMode="External"/><Relationship Id="rId245" Type="http://schemas.openxmlformats.org/officeDocument/2006/relationships/hyperlink" Target="https://doi.org/10.1016/j.jacc.2023.08.017" TargetMode="External"/><Relationship Id="rId287" Type="http://schemas.openxmlformats.org/officeDocument/2006/relationships/hyperlink" Target="https://doi.org/10.1016/j.jacc.2020.11.018" TargetMode="External"/><Relationship Id="rId410" Type="http://schemas.openxmlformats.org/officeDocument/2006/relationships/hyperlink" Target="https://doi.org/10.1136/bmjresp-2016-000133" TargetMode="External"/><Relationship Id="rId452" Type="http://schemas.openxmlformats.org/officeDocument/2006/relationships/hyperlink" Target="https://doi.org/10.1007/s00259-019-4262-x" TargetMode="External"/><Relationship Id="rId494" Type="http://schemas.openxmlformats.org/officeDocument/2006/relationships/hyperlink" Target="https://doi.org/10.1530/EJE-16-0033" TargetMode="External"/><Relationship Id="rId508" Type="http://schemas.openxmlformats.org/officeDocument/2006/relationships/hyperlink" Target="https://doi.org/10.1055/a-0659-9864" TargetMode="External"/><Relationship Id="rId105" Type="http://schemas.openxmlformats.org/officeDocument/2006/relationships/hyperlink" Target="https://doi.org/10.1002/art.41142" TargetMode="External"/><Relationship Id="rId147" Type="http://schemas.openxmlformats.org/officeDocument/2006/relationships/hyperlink" Target="https://doi.org/10.1111/jgs.18372" TargetMode="External"/><Relationship Id="rId312" Type="http://schemas.openxmlformats.org/officeDocument/2006/relationships/hyperlink" Target="https://doi.org/10.1200/JCO.20.03364" TargetMode="External"/><Relationship Id="rId354" Type="http://schemas.openxmlformats.org/officeDocument/2006/relationships/hyperlink" Target="https://doi.org/10.1182/bloodadvances.2018024893" TargetMode="External"/><Relationship Id="rId51" Type="http://schemas.openxmlformats.org/officeDocument/2006/relationships/hyperlink" Target="https://doi.org/10.14309/ajg.0000000000001538" TargetMode="External"/><Relationship Id="rId93" Type="http://schemas.openxmlformats.org/officeDocument/2006/relationships/hyperlink" Target="https://doi.org/10.1002/art.41752" TargetMode="External"/><Relationship Id="rId189" Type="http://schemas.openxmlformats.org/officeDocument/2006/relationships/hyperlink" Target="https://doi.org/10.1016/j.jacc.2022.08.004" TargetMode="External"/><Relationship Id="rId396" Type="http://schemas.openxmlformats.org/officeDocument/2006/relationships/hyperlink" Target="https://doi.org/10.1093/rheumatology/keac551" TargetMode="External"/><Relationship Id="rId561" Type="http://schemas.openxmlformats.org/officeDocument/2006/relationships/hyperlink" Target="https://doi.org/10.1093/humrep/dew027" TargetMode="External"/><Relationship Id="rId617" Type="http://schemas.openxmlformats.org/officeDocument/2006/relationships/hyperlink" Target="https://doi.org/10.1016/j.annonc.2024.11.006" TargetMode="External"/><Relationship Id="rId659" Type="http://schemas.openxmlformats.org/officeDocument/2006/relationships/hyperlink" Target="https://doi.org/10.1111/jdv.20639" TargetMode="External"/><Relationship Id="rId214" Type="http://schemas.openxmlformats.org/officeDocument/2006/relationships/hyperlink" Target="https://doi.org/10.1016/j.jacc.2025.11.005" TargetMode="External"/><Relationship Id="rId256" Type="http://schemas.openxmlformats.org/officeDocument/2006/relationships/hyperlink" Target="https://doi.org/10.1016/j.jacc.2023.08.017" TargetMode="External"/><Relationship Id="rId298" Type="http://schemas.openxmlformats.org/officeDocument/2006/relationships/hyperlink" Target="https://doi.org/10.1016/j.jacc.2023.04.003" TargetMode="External"/><Relationship Id="rId421" Type="http://schemas.openxmlformats.org/officeDocument/2006/relationships/hyperlink" Target="https://doi.org/10.1136/bmjresp-2017-000242" TargetMode="External"/><Relationship Id="rId463" Type="http://schemas.openxmlformats.org/officeDocument/2006/relationships/hyperlink" Target="https://doi.org/10.1093/ejendo/lvaf222" TargetMode="External"/><Relationship Id="rId519" Type="http://schemas.openxmlformats.org/officeDocument/2006/relationships/hyperlink" Target="https://doi.org/10.1055/a-0862-0346" TargetMode="External"/><Relationship Id="rId670" Type="http://schemas.openxmlformats.org/officeDocument/2006/relationships/hyperlink" Target="https://doi.org/10.1093/cid/cix1085" TargetMode="External"/><Relationship Id="rId116" Type="http://schemas.openxmlformats.org/officeDocument/2006/relationships/hyperlink" Target="https://doi.org/10.2337/dc25-S010" TargetMode="External"/><Relationship Id="rId158" Type="http://schemas.openxmlformats.org/officeDocument/2006/relationships/hyperlink" Target="https://doi.org/10.1016/j.jacc.2022.08.004" TargetMode="External"/><Relationship Id="rId323" Type="http://schemas.openxmlformats.org/officeDocument/2006/relationships/hyperlink" Target="https://doi.org/10.1200/JCO.22.00069" TargetMode="External"/><Relationship Id="rId530" Type="http://schemas.openxmlformats.org/officeDocument/2006/relationships/hyperlink" Target="https://doi.org/10.1136/ijgc-2023-004429" TargetMode="External"/><Relationship Id="rId20" Type="http://schemas.openxmlformats.org/officeDocument/2006/relationships/hyperlink" Target="https://www.aaos.org/globalassets/quality-and-practice-resources/glenohumeral/gjo-cpg.pdf" TargetMode="External"/><Relationship Id="rId62" Type="http://schemas.openxmlformats.org/officeDocument/2006/relationships/hyperlink" Target="https://doi.org/10.1038/ajg.2014.435" TargetMode="External"/><Relationship Id="rId365" Type="http://schemas.openxmlformats.org/officeDocument/2006/relationships/hyperlink" Target="https://doi.org/10.1136/gutjnl-2022-327737" TargetMode="External"/><Relationship Id="rId572" Type="http://schemas.openxmlformats.org/officeDocument/2006/relationships/hyperlink" Target="https://doi.org/10.1093/humrep/deae010" TargetMode="External"/><Relationship Id="rId628" Type="http://schemas.openxmlformats.org/officeDocument/2006/relationships/hyperlink" Target="https://doi.org/10.1002/hem3.70128" TargetMode="External"/><Relationship Id="rId225" Type="http://schemas.openxmlformats.org/officeDocument/2006/relationships/hyperlink" Target="https://doi.org/10.1016/j.jacc.2021.12.012" TargetMode="External"/><Relationship Id="rId267" Type="http://schemas.openxmlformats.org/officeDocument/2006/relationships/hyperlink" Target="https://doi.org/10.1016/j.jacc.2024.02.013" TargetMode="External"/><Relationship Id="rId432" Type="http://schemas.openxmlformats.org/officeDocument/2006/relationships/hyperlink" Target="https://doi.org/10.1093/eurheartj/ehae177" TargetMode="External"/><Relationship Id="rId474" Type="http://schemas.openxmlformats.org/officeDocument/2006/relationships/hyperlink" Target="https://doi.org/10.1530/EJE-21-0462" TargetMode="External"/><Relationship Id="rId127" Type="http://schemas.openxmlformats.org/officeDocument/2006/relationships/hyperlink" Target="https://doi.org/10.2337/dc25-S011" TargetMode="External"/><Relationship Id="rId681" Type="http://schemas.openxmlformats.org/officeDocument/2006/relationships/hyperlink" Target="https://doi.org/10.1093/cid/ciy1121" TargetMode="External"/><Relationship Id="rId31" Type="http://schemas.openxmlformats.org/officeDocument/2006/relationships/hyperlink" Target="https://doi.org/10.1542/peds.2016-0590" TargetMode="External"/><Relationship Id="rId73" Type="http://schemas.openxmlformats.org/officeDocument/2006/relationships/hyperlink" Target="https://doi.org/10.14309/ajg.0000000000002968" TargetMode="External"/><Relationship Id="rId169" Type="http://schemas.openxmlformats.org/officeDocument/2006/relationships/hyperlink" Target="https://doi.org/10.1016/j.jacc.2021.12.012" TargetMode="External"/><Relationship Id="rId334" Type="http://schemas.openxmlformats.org/officeDocument/2006/relationships/hyperlink" Target="https://doi.org/10.1200/JCO.20.00275" TargetMode="External"/><Relationship Id="rId376" Type="http://schemas.openxmlformats.org/officeDocument/2006/relationships/hyperlink" Target="https://doi.org/10.1136/gutjnl-2022-327737" TargetMode="External"/><Relationship Id="rId541" Type="http://schemas.openxmlformats.org/officeDocument/2006/relationships/hyperlink" Target="https://doi.org/10.1136/ijgc-2023-004429" TargetMode="External"/><Relationship Id="rId583" Type="http://schemas.openxmlformats.org/officeDocument/2006/relationships/hyperlink" Target="https://doi.org/10.1016/j.annonc.2024.11.006" TargetMode="External"/><Relationship Id="rId639" Type="http://schemas.openxmlformats.org/officeDocument/2006/relationships/hyperlink" Target="https://doi.org/10.1210/jc.2018-01865" TargetMode="External"/><Relationship Id="rId4" Type="http://schemas.openxmlformats.org/officeDocument/2006/relationships/hyperlink" Target="https://doi.org/10.1212/WNL.0000000000008095" TargetMode="External"/><Relationship Id="rId180" Type="http://schemas.openxmlformats.org/officeDocument/2006/relationships/hyperlink" Target="https://doi.org/10.1016/j.jacc.2024.06.013" TargetMode="External"/><Relationship Id="rId236" Type="http://schemas.openxmlformats.org/officeDocument/2006/relationships/hyperlink" Target="https://doi.org/10.1016/j.jacc.2023.08.017" TargetMode="External"/><Relationship Id="rId278" Type="http://schemas.openxmlformats.org/officeDocument/2006/relationships/hyperlink" Target="https://doi.org/10.1016/j.jacc.2017.10.054" TargetMode="External"/><Relationship Id="rId401" Type="http://schemas.openxmlformats.org/officeDocument/2006/relationships/hyperlink" Target="https://doi.org/10.1093/rheumatology/keae394" TargetMode="External"/><Relationship Id="rId443" Type="http://schemas.openxmlformats.org/officeDocument/2006/relationships/hyperlink" Target="https://doi.org/10.1093/eurheartj/ehac237" TargetMode="External"/><Relationship Id="rId650" Type="http://schemas.openxmlformats.org/officeDocument/2006/relationships/hyperlink" Target="https://doi.org/10.1210/jc.2014-1498" TargetMode="External"/><Relationship Id="rId303" Type="http://schemas.openxmlformats.org/officeDocument/2006/relationships/hyperlink" Target="https://doi.org/10.1200/OP-25-00133" TargetMode="External"/><Relationship Id="rId485" Type="http://schemas.openxmlformats.org/officeDocument/2006/relationships/hyperlink" Target="https://doi.org/10.1093/ejendo/lvad096" TargetMode="External"/><Relationship Id="rId42" Type="http://schemas.openxmlformats.org/officeDocument/2006/relationships/hyperlink" Target="https://doi.org/10.1097/HEP.0000000000000466" TargetMode="External"/><Relationship Id="rId84" Type="http://schemas.openxmlformats.org/officeDocument/2006/relationships/hyperlink" Target="https://doi.org/10.1002/acr.25045" TargetMode="External"/><Relationship Id="rId138" Type="http://schemas.openxmlformats.org/officeDocument/2006/relationships/hyperlink" Target="https://doi.org/10.1177/15357597261433266" TargetMode="External"/><Relationship Id="rId345" Type="http://schemas.openxmlformats.org/officeDocument/2006/relationships/hyperlink" Target="https://doi.org/10.1182/bloodadvances.2018024786" TargetMode="External"/><Relationship Id="rId387" Type="http://schemas.openxmlformats.org/officeDocument/2006/relationships/hyperlink" Target="https://doi.org/10.1093/rheumatology/keae394" TargetMode="External"/><Relationship Id="rId510" Type="http://schemas.openxmlformats.org/officeDocument/2006/relationships/hyperlink" Target="https://doi.org/10.1055/a-1369-5274" TargetMode="External"/><Relationship Id="rId552" Type="http://schemas.openxmlformats.org/officeDocument/2006/relationships/hyperlink" Target="https://doi.org/10.1093/humrep/dead184" TargetMode="External"/><Relationship Id="rId594" Type="http://schemas.openxmlformats.org/officeDocument/2006/relationships/hyperlink" Target="https://doi.org/10.1016/j.annonc.2024.11.006" TargetMode="External"/><Relationship Id="rId608" Type="http://schemas.openxmlformats.org/officeDocument/2006/relationships/hyperlink" Target="https://doi.org/10.1002/hem3.150" TargetMode="External"/><Relationship Id="rId191" Type="http://schemas.openxmlformats.org/officeDocument/2006/relationships/hyperlink" Target="https://doi.org/10.1016/j.jacc.2025.09.006" TargetMode="External"/><Relationship Id="rId205" Type="http://schemas.openxmlformats.org/officeDocument/2006/relationships/hyperlink" Target="https://doi.org/10.1016/j.jacc.2025.09.006" TargetMode="External"/><Relationship Id="rId247" Type="http://schemas.openxmlformats.org/officeDocument/2006/relationships/hyperlink" Target="https://doi.org/10.1016/j.jacc.2021.09.006" TargetMode="External"/><Relationship Id="rId412" Type="http://schemas.openxmlformats.org/officeDocument/2006/relationships/hyperlink" Target="https://doi.org/10.1136/bmjresp-2017-000266" TargetMode="External"/><Relationship Id="rId107" Type="http://schemas.openxmlformats.org/officeDocument/2006/relationships/hyperlink" Target="https://doi.org/10.1002/art.41752" TargetMode="External"/><Relationship Id="rId289" Type="http://schemas.openxmlformats.org/officeDocument/2006/relationships/hyperlink" Target="https://doi.org/10.1016/j.jacc.2021.09.006" TargetMode="External"/><Relationship Id="rId454" Type="http://schemas.openxmlformats.org/officeDocument/2006/relationships/hyperlink" Target="https://doi.org/10.1016/j.cmi.2021.09.038" TargetMode="External"/><Relationship Id="rId496" Type="http://schemas.openxmlformats.org/officeDocument/2006/relationships/hyperlink" Target="https://doi.org/10.1055/a-1185-3109" TargetMode="External"/><Relationship Id="rId661" Type="http://schemas.openxmlformats.org/officeDocument/2006/relationships/hyperlink" Target="https://ginasthma.org/wp-content/uploads/2026/05/GINA-2026-Strategy-Report-WMS.pdf" TargetMode="External"/><Relationship Id="rId11" Type="http://schemas.openxmlformats.org/officeDocument/2006/relationships/hyperlink" Target="https://doi.org/10.1177/0194599816689667" TargetMode="External"/><Relationship Id="rId53" Type="http://schemas.openxmlformats.org/officeDocument/2006/relationships/hyperlink" Target="https://doi.org/10.14309/ajg.0000000000003465" TargetMode="External"/><Relationship Id="rId149" Type="http://schemas.openxmlformats.org/officeDocument/2006/relationships/hyperlink" Target="https://doi.org/10.1016/j.jacc.2020.11.018" TargetMode="External"/><Relationship Id="rId314" Type="http://schemas.openxmlformats.org/officeDocument/2006/relationships/hyperlink" Target="https://doi.org/10.1200/JGO.2016.006577" TargetMode="External"/><Relationship Id="rId356" Type="http://schemas.openxmlformats.org/officeDocument/2006/relationships/hyperlink" Target="https://doi.org/10.1182/bloodadvances.2019000975" TargetMode="External"/><Relationship Id="rId398" Type="http://schemas.openxmlformats.org/officeDocument/2006/relationships/hyperlink" Target="https://doi.org/10.1093/rheumatology/keac551" TargetMode="External"/><Relationship Id="rId521" Type="http://schemas.openxmlformats.org/officeDocument/2006/relationships/hyperlink" Target="https://doi.org/10.1055/a-1075-4080" TargetMode="External"/><Relationship Id="rId563" Type="http://schemas.openxmlformats.org/officeDocument/2006/relationships/hyperlink" Target="https://doi.org/10.1093/hropen/hoac009" TargetMode="External"/><Relationship Id="rId619" Type="http://schemas.openxmlformats.org/officeDocument/2006/relationships/hyperlink" Target="https://doi.org/10.1007/s12094-025-04046-1" TargetMode="External"/><Relationship Id="rId95" Type="http://schemas.openxmlformats.org/officeDocument/2006/relationships/hyperlink" Target="https://doi.org/10.1002/art.40726" TargetMode="External"/><Relationship Id="rId160" Type="http://schemas.openxmlformats.org/officeDocument/2006/relationships/hyperlink" Target="https://doi.org/10.1016/j.jacc.2017.03.003" TargetMode="External"/><Relationship Id="rId216" Type="http://schemas.openxmlformats.org/officeDocument/2006/relationships/hyperlink" Target="https://doi.org/10.1016/j.jacc.2022.08.004" TargetMode="External"/><Relationship Id="rId423" Type="http://schemas.openxmlformats.org/officeDocument/2006/relationships/hyperlink" Target="https://doi.org/10.1136/bmjresp-2016-000170" TargetMode="External"/><Relationship Id="rId258" Type="http://schemas.openxmlformats.org/officeDocument/2006/relationships/hyperlink" Target="https://doi.org/10.1016/j.jacc.2024.02.014" TargetMode="External"/><Relationship Id="rId465" Type="http://schemas.openxmlformats.org/officeDocument/2006/relationships/hyperlink" Target="https://doi.org/10.1530/EJE-18-0608" TargetMode="External"/><Relationship Id="rId630" Type="http://schemas.openxmlformats.org/officeDocument/2006/relationships/hyperlink" Target="https://doi.org/10.1007/s12094-025-04163-x" TargetMode="External"/><Relationship Id="rId672" Type="http://schemas.openxmlformats.org/officeDocument/2006/relationships/hyperlink" Target="https://doi.org/10.1093/cid/ciad319" TargetMode="External"/><Relationship Id="rId22" Type="http://schemas.openxmlformats.org/officeDocument/2006/relationships/hyperlink" Target="https://www.orthoguidelines.org/topic?id=1051&amp;tab=all_guidelines" TargetMode="External"/><Relationship Id="rId64" Type="http://schemas.openxmlformats.org/officeDocument/2006/relationships/hyperlink" Target="https://doi.org/10.14309/ajg.0000000000002340" TargetMode="External"/><Relationship Id="rId118" Type="http://schemas.openxmlformats.org/officeDocument/2006/relationships/hyperlink" Target="https://doi.org/10.2337/dc25-S011" TargetMode="External"/><Relationship Id="rId325" Type="http://schemas.openxmlformats.org/officeDocument/2006/relationships/hyperlink" Target="https://doi.org/10.1200/JCO.20.03465" TargetMode="External"/><Relationship Id="rId367" Type="http://schemas.openxmlformats.org/officeDocument/2006/relationships/hyperlink" Target="https://doi.org/10.1136/gutjnl-2023-330396" TargetMode="External"/><Relationship Id="rId532" Type="http://schemas.openxmlformats.org/officeDocument/2006/relationships/hyperlink" Target="https://doi.org/10.1136/ijgc-2023-004486" TargetMode="External"/><Relationship Id="rId574" Type="http://schemas.openxmlformats.org/officeDocument/2006/relationships/hyperlink" Target="https://doi.org/10.1093/hropen/hoad002" TargetMode="External"/><Relationship Id="rId171" Type="http://schemas.openxmlformats.org/officeDocument/2006/relationships/hyperlink" Target="https://doi.org/10.1016/j.jacc.2025.11.016" TargetMode="External"/><Relationship Id="rId227" Type="http://schemas.openxmlformats.org/officeDocument/2006/relationships/hyperlink" Target="https://doi.org/10.1016/j.jacc.2022.08.004" TargetMode="External"/><Relationship Id="rId269" Type="http://schemas.openxmlformats.org/officeDocument/2006/relationships/hyperlink" Target="https://doi.org/10.1016/j.jacc.2024.11.009" TargetMode="External"/><Relationship Id="rId434" Type="http://schemas.openxmlformats.org/officeDocument/2006/relationships/hyperlink" Target="https://doi.org/10.1093/eurheartj/ehac270" TargetMode="External"/><Relationship Id="rId476" Type="http://schemas.openxmlformats.org/officeDocument/2006/relationships/hyperlink" Target="https://doi.org/10.1530/EJE-22-0073" TargetMode="External"/><Relationship Id="rId641" Type="http://schemas.openxmlformats.org/officeDocument/2006/relationships/hyperlink" Target="https://doi.org/10.1210/jc.2015-1710" TargetMode="External"/><Relationship Id="rId683" Type="http://schemas.openxmlformats.org/officeDocument/2006/relationships/hyperlink" Target="https://doi.org/10.1097/CCM.0000000000004899" TargetMode="External"/><Relationship Id="rId33" Type="http://schemas.openxmlformats.org/officeDocument/2006/relationships/hyperlink" Target="https://doi.org/10.1542/peds.2024-068752" TargetMode="External"/><Relationship Id="rId129" Type="http://schemas.openxmlformats.org/officeDocument/2006/relationships/hyperlink" Target="https://doi.org/10.2337/dc25-S012" TargetMode="External"/><Relationship Id="rId280" Type="http://schemas.openxmlformats.org/officeDocument/2006/relationships/hyperlink" Target="https://doi.org/10.1016/j.jacc.2025.09.006" TargetMode="External"/><Relationship Id="rId336" Type="http://schemas.openxmlformats.org/officeDocument/2006/relationships/hyperlink" Target="https://doi.org/10.1200/JCO.2017.77.6211" TargetMode="External"/><Relationship Id="rId501" Type="http://schemas.openxmlformats.org/officeDocument/2006/relationships/hyperlink" Target="https://doi.org/10.1055/a-1547-2282" TargetMode="External"/><Relationship Id="rId543" Type="http://schemas.openxmlformats.org/officeDocument/2006/relationships/hyperlink" Target="https://doi.org/10.1093/humrep/dew027" TargetMode="External"/><Relationship Id="rId75" Type="http://schemas.openxmlformats.org/officeDocument/2006/relationships/hyperlink" Target="https://doi.org/10.14309/ajg.0000000000001278" TargetMode="External"/><Relationship Id="rId140" Type="http://schemas.openxmlformats.org/officeDocument/2006/relationships/hyperlink" Target="https://doi.org/10.1053/j.gastro.2025.09.038" TargetMode="External"/><Relationship Id="rId182" Type="http://schemas.openxmlformats.org/officeDocument/2006/relationships/hyperlink" Target="https://doi.org/10.1016/j.jacc.2018.10.044" TargetMode="External"/><Relationship Id="rId378" Type="http://schemas.openxmlformats.org/officeDocument/2006/relationships/hyperlink" Target="https://doi.org/10.1136/gutjnl-2022-327326" TargetMode="External"/><Relationship Id="rId403" Type="http://schemas.openxmlformats.org/officeDocument/2006/relationships/hyperlink" Target="https://doi.org/10.1136/bmjresp-2016-000170" TargetMode="External"/><Relationship Id="rId585" Type="http://schemas.openxmlformats.org/officeDocument/2006/relationships/hyperlink" Target="https://doi.org/10.1016/j.esmoop.2023.101624" TargetMode="External"/><Relationship Id="rId6" Type="http://schemas.openxmlformats.org/officeDocument/2006/relationships/hyperlink" Target="https://doi.org/10.1212/WNL.0000000000005926" TargetMode="External"/><Relationship Id="rId238" Type="http://schemas.openxmlformats.org/officeDocument/2006/relationships/hyperlink" Target="https://doi.org/10.1016/j.jacc.2017.10.054" TargetMode="External"/><Relationship Id="rId445" Type="http://schemas.openxmlformats.org/officeDocument/2006/relationships/hyperlink" Target="https://doi.org/10.1093/eurheartj/ehae176" TargetMode="External"/><Relationship Id="rId487" Type="http://schemas.openxmlformats.org/officeDocument/2006/relationships/hyperlink" Target="https://doi.org/10.1093/ejendo/lvad096" TargetMode="External"/><Relationship Id="rId610" Type="http://schemas.openxmlformats.org/officeDocument/2006/relationships/hyperlink" Target="https://doi.org/10.1002/hem3.150" TargetMode="External"/><Relationship Id="rId652" Type="http://schemas.openxmlformats.org/officeDocument/2006/relationships/hyperlink" Target="https://doi.org/10.1210/jc.2015-1818" TargetMode="External"/><Relationship Id="rId291" Type="http://schemas.openxmlformats.org/officeDocument/2006/relationships/hyperlink" Target="https://doi.org/10.1016/j.jacc.2022.08.004" TargetMode="External"/><Relationship Id="rId305" Type="http://schemas.openxmlformats.org/officeDocument/2006/relationships/hyperlink" Target="https://doi.org/10.1200/JGO.2016.006577" TargetMode="External"/><Relationship Id="rId347" Type="http://schemas.openxmlformats.org/officeDocument/2006/relationships/hyperlink" Target="https://doi.org/10.1182/bloodadvances.2020001851" TargetMode="External"/><Relationship Id="rId512" Type="http://schemas.openxmlformats.org/officeDocument/2006/relationships/hyperlink" Target="https://doi.org/10.1055/a-1751-5742" TargetMode="External"/><Relationship Id="rId44" Type="http://schemas.openxmlformats.org/officeDocument/2006/relationships/hyperlink" Target="https://doi.org/10.1097/HEP.0000000000001644" TargetMode="External"/><Relationship Id="rId86" Type="http://schemas.openxmlformats.org/officeDocument/2006/relationships/hyperlink" Target="https://doi.org/10.1002/art.40884" TargetMode="External"/><Relationship Id="rId151" Type="http://schemas.openxmlformats.org/officeDocument/2006/relationships/hyperlink" Target="https://doi.org/10.1016/j.jacc.2024.02.013" TargetMode="External"/><Relationship Id="rId389" Type="http://schemas.openxmlformats.org/officeDocument/2006/relationships/hyperlink" Target="https://doi.org/10.1093/rheumatology/keae394" TargetMode="External"/><Relationship Id="rId554" Type="http://schemas.openxmlformats.org/officeDocument/2006/relationships/hyperlink" Target="https://doi.org/10.1093/humrep/dead184" TargetMode="External"/><Relationship Id="rId596" Type="http://schemas.openxmlformats.org/officeDocument/2006/relationships/hyperlink" Target="https://doi.org/10.1016/j.esmoop.2024.103496" TargetMode="External"/><Relationship Id="rId193" Type="http://schemas.openxmlformats.org/officeDocument/2006/relationships/hyperlink" Target="https://doi.org/10.1016/j.jacc.2021.07.053" TargetMode="External"/><Relationship Id="rId207" Type="http://schemas.openxmlformats.org/officeDocument/2006/relationships/hyperlink" Target="https://doi.org/10.1016/j.jacc.2017.03.003" TargetMode="External"/><Relationship Id="rId249" Type="http://schemas.openxmlformats.org/officeDocument/2006/relationships/hyperlink" Target="https://doi.org/10.1016/j.jacc.2022.08.004" TargetMode="External"/><Relationship Id="rId414" Type="http://schemas.openxmlformats.org/officeDocument/2006/relationships/hyperlink" Target="https://doi.org/10.1136/bmjresp-2017-000242" TargetMode="External"/><Relationship Id="rId456" Type="http://schemas.openxmlformats.org/officeDocument/2006/relationships/hyperlink" Target="https://doi.org/10.1016/j.cmi.2023.08.016" TargetMode="External"/><Relationship Id="rId498" Type="http://schemas.openxmlformats.org/officeDocument/2006/relationships/hyperlink" Target="https://doi.org/10.1055/a-1303-7449" TargetMode="External"/><Relationship Id="rId621" Type="http://schemas.openxmlformats.org/officeDocument/2006/relationships/hyperlink" Target="https://doi.org/10.1002/hem3.70128" TargetMode="External"/><Relationship Id="rId663" Type="http://schemas.openxmlformats.org/officeDocument/2006/relationships/hyperlink" Target="https://doi.org/10.1093/cid/cix1085" TargetMode="External"/><Relationship Id="rId13" Type="http://schemas.openxmlformats.org/officeDocument/2006/relationships/hyperlink" Target="https://doi.org/10.5435/JAAOS-D-21-01233" TargetMode="External"/><Relationship Id="rId109" Type="http://schemas.openxmlformats.org/officeDocument/2006/relationships/hyperlink" Target="https://doi.org/10.2337/dc25-S007" TargetMode="External"/><Relationship Id="rId260" Type="http://schemas.openxmlformats.org/officeDocument/2006/relationships/hyperlink" Target="https://doi.org/10.1016/j.jacc.2021.09.006" TargetMode="External"/><Relationship Id="rId316" Type="http://schemas.openxmlformats.org/officeDocument/2006/relationships/hyperlink" Target="https://doi.org/10.1200/JGO.18.00213" TargetMode="External"/><Relationship Id="rId523" Type="http://schemas.openxmlformats.org/officeDocument/2006/relationships/hyperlink" Target="https://doi.org/10.1055/a-1185-3109" TargetMode="External"/><Relationship Id="rId55" Type="http://schemas.openxmlformats.org/officeDocument/2006/relationships/hyperlink" Target="https://doi.org/10.14309/ajg.0000000000003465" TargetMode="External"/><Relationship Id="rId97" Type="http://schemas.openxmlformats.org/officeDocument/2006/relationships/hyperlink" Target="https://doi.org/10.1002/art.40726" TargetMode="External"/><Relationship Id="rId120" Type="http://schemas.openxmlformats.org/officeDocument/2006/relationships/hyperlink" Target="https://doi.org/10.2337/dc25-S014" TargetMode="External"/><Relationship Id="rId358" Type="http://schemas.openxmlformats.org/officeDocument/2006/relationships/hyperlink" Target="https://doi.org/10.1136/gutjnl-2024-334395" TargetMode="External"/><Relationship Id="rId565" Type="http://schemas.openxmlformats.org/officeDocument/2006/relationships/hyperlink" Target="https://doi.org/10.1093/hropen/hoac009" TargetMode="External"/><Relationship Id="rId162" Type="http://schemas.openxmlformats.org/officeDocument/2006/relationships/hyperlink" Target="https://doi.org/10.1016/j.jacc.2025.09.006" TargetMode="External"/><Relationship Id="rId218" Type="http://schemas.openxmlformats.org/officeDocument/2006/relationships/hyperlink" Target="https://doi.org/10.1016/j.jacc.2019.03.010" TargetMode="External"/><Relationship Id="rId425" Type="http://schemas.openxmlformats.org/officeDocument/2006/relationships/hyperlink" Target="https://doi.org/10.1136/bmjresp-2017-000242" TargetMode="External"/><Relationship Id="rId467" Type="http://schemas.openxmlformats.org/officeDocument/2006/relationships/hyperlink" Target="https://doi.org/10.1093/ejendo/lvad096" TargetMode="External"/><Relationship Id="rId632" Type="http://schemas.openxmlformats.org/officeDocument/2006/relationships/hyperlink" Target="https://doi.org/10.1002/hem3.70128" TargetMode="External"/><Relationship Id="rId271" Type="http://schemas.openxmlformats.org/officeDocument/2006/relationships/hyperlink" Target="https://doi.org/10.1016/j.jacc.2020.11.018" TargetMode="External"/><Relationship Id="rId674" Type="http://schemas.openxmlformats.org/officeDocument/2006/relationships/hyperlink" Target="https://doi.org/10.1093/cid/ciaa1215" TargetMode="External"/><Relationship Id="rId24" Type="http://schemas.openxmlformats.org/officeDocument/2006/relationships/hyperlink" Target="https://doi.org/10.5435/JAAOS-D-20-00188" TargetMode="External"/><Relationship Id="rId66" Type="http://schemas.openxmlformats.org/officeDocument/2006/relationships/hyperlink" Target="https://doi.org/10.1038/ajg.2016.28" TargetMode="External"/><Relationship Id="rId131" Type="http://schemas.openxmlformats.org/officeDocument/2006/relationships/hyperlink" Target="https://doi.org/10.2337/dc25-S014" TargetMode="External"/><Relationship Id="rId327" Type="http://schemas.openxmlformats.org/officeDocument/2006/relationships/hyperlink" Target="https://doi.org/10.1200/JCO.23.00293" TargetMode="External"/><Relationship Id="rId369" Type="http://schemas.openxmlformats.org/officeDocument/2006/relationships/hyperlink" Target="https://doi.org/10.1136/gutjnl-2018-318115" TargetMode="External"/><Relationship Id="rId534" Type="http://schemas.openxmlformats.org/officeDocument/2006/relationships/hyperlink" Target="https://doi.org/10.1136/ijgc-2023-004486" TargetMode="External"/><Relationship Id="rId576" Type="http://schemas.openxmlformats.org/officeDocument/2006/relationships/hyperlink" Target="https://doi.org/10.1093/humrep/dew027" TargetMode="External"/><Relationship Id="rId173" Type="http://schemas.openxmlformats.org/officeDocument/2006/relationships/hyperlink" Target="https://doi.org/10.1016/j.jacc.2015.08.856" TargetMode="External"/><Relationship Id="rId229" Type="http://schemas.openxmlformats.org/officeDocument/2006/relationships/hyperlink" Target="https://doi.org/10.1016/j.jacc.2025.09.006" TargetMode="External"/><Relationship Id="rId380" Type="http://schemas.openxmlformats.org/officeDocument/2006/relationships/hyperlink" Target="https://doi.org/10.1136/gutjnl-2024-333171" TargetMode="External"/><Relationship Id="rId436" Type="http://schemas.openxmlformats.org/officeDocument/2006/relationships/hyperlink" Target="https://doi.org/10.1093/eurheartj/ehab368" TargetMode="External"/><Relationship Id="rId601" Type="http://schemas.openxmlformats.org/officeDocument/2006/relationships/hyperlink" Target="https://doi.org/10.1016/j.esmoop.2021.100092" TargetMode="External"/><Relationship Id="rId643" Type="http://schemas.openxmlformats.org/officeDocument/2006/relationships/hyperlink" Target="https://doi.org/10.1093/ejendo/lvae050" TargetMode="External"/><Relationship Id="rId240" Type="http://schemas.openxmlformats.org/officeDocument/2006/relationships/hyperlink" Target="https://doi.org/10.1016/j.jacc.2017.10.054" TargetMode="External"/><Relationship Id="rId478" Type="http://schemas.openxmlformats.org/officeDocument/2006/relationships/hyperlink" Target="https://doi.org/10.1530/EJE-18-0608" TargetMode="External"/><Relationship Id="rId35" Type="http://schemas.openxmlformats.org/officeDocument/2006/relationships/hyperlink" Target="https://doi.org/10.1542/peds.2012-3488" TargetMode="External"/><Relationship Id="rId77" Type="http://schemas.openxmlformats.org/officeDocument/2006/relationships/hyperlink" Target="https://doi.org/10.1097/AOG.0000000000004082" TargetMode="External"/><Relationship Id="rId100" Type="http://schemas.openxmlformats.org/officeDocument/2006/relationships/hyperlink" Target="https://doi.org/10.1002/art.42386" TargetMode="External"/><Relationship Id="rId282" Type="http://schemas.openxmlformats.org/officeDocument/2006/relationships/hyperlink" Target="https://doi.org/10.1016/j.jacc.2021.07.053" TargetMode="External"/><Relationship Id="rId338" Type="http://schemas.openxmlformats.org/officeDocument/2006/relationships/hyperlink" Target="https://doi.org/10.1097/DCR.0000000000003450" TargetMode="External"/><Relationship Id="rId503" Type="http://schemas.openxmlformats.org/officeDocument/2006/relationships/hyperlink" Target="https://doi.org/10.1055/a-0959-0505" TargetMode="External"/><Relationship Id="rId545" Type="http://schemas.openxmlformats.org/officeDocument/2006/relationships/hyperlink" Target="https://doi.org/10.1093/hropen/hoac009" TargetMode="External"/><Relationship Id="rId587" Type="http://schemas.openxmlformats.org/officeDocument/2006/relationships/hyperlink" Target="https://doi.org/10.1016/j.esmoop.2021.100092" TargetMode="External"/><Relationship Id="rId8" Type="http://schemas.openxmlformats.org/officeDocument/2006/relationships/hyperlink" Target="https://doi.org/10.1177/0194599816689667" TargetMode="External"/><Relationship Id="rId142" Type="http://schemas.openxmlformats.org/officeDocument/2006/relationships/hyperlink" Target="https://doi.org/10.1053/j.gastro.2023.09.029" TargetMode="External"/><Relationship Id="rId184" Type="http://schemas.openxmlformats.org/officeDocument/2006/relationships/hyperlink" Target="https://doi.org/10.1016/j.jacc.2023.04.003" TargetMode="External"/><Relationship Id="rId391" Type="http://schemas.openxmlformats.org/officeDocument/2006/relationships/hyperlink" Target="https://doi.org/10.1093/rheumatology/keae394" TargetMode="External"/><Relationship Id="rId405" Type="http://schemas.openxmlformats.org/officeDocument/2006/relationships/hyperlink" Target="https://doi.org/10.1136/bmjresp-2016-000133" TargetMode="External"/><Relationship Id="rId447" Type="http://schemas.openxmlformats.org/officeDocument/2006/relationships/hyperlink" Target="https://doi.org/10.1093/eurheartj/ehab484" TargetMode="External"/><Relationship Id="rId612" Type="http://schemas.openxmlformats.org/officeDocument/2006/relationships/hyperlink" Target="https://doi.org/10.1016/j.esmoop.2021.100225" TargetMode="External"/><Relationship Id="rId251" Type="http://schemas.openxmlformats.org/officeDocument/2006/relationships/hyperlink" Target="https://doi.org/10.1016/j.jacc.2025.09.006" TargetMode="External"/><Relationship Id="rId489" Type="http://schemas.openxmlformats.org/officeDocument/2006/relationships/hyperlink" Target="https://doi.org/10.1530/EJE-21-0479" TargetMode="External"/><Relationship Id="rId654" Type="http://schemas.openxmlformats.org/officeDocument/2006/relationships/hyperlink" Target="https://doi.org/10.1093/ejendo/lvae050" TargetMode="External"/><Relationship Id="rId46" Type="http://schemas.openxmlformats.org/officeDocument/2006/relationships/hyperlink" Target="https://doi.org/10.1097/HEP.0000000000000466" TargetMode="External"/><Relationship Id="rId293" Type="http://schemas.openxmlformats.org/officeDocument/2006/relationships/hyperlink" Target="https://doi.org/10.1016/j.jacc.2017.03.003" TargetMode="External"/><Relationship Id="rId307" Type="http://schemas.openxmlformats.org/officeDocument/2006/relationships/hyperlink" Target="https://doi.org/10.1200/JCO.20.00275" TargetMode="External"/><Relationship Id="rId349" Type="http://schemas.openxmlformats.org/officeDocument/2006/relationships/hyperlink" Target="https://doi.org/10.1182/bloodadvances.2018024893" TargetMode="External"/><Relationship Id="rId514" Type="http://schemas.openxmlformats.org/officeDocument/2006/relationships/hyperlink" Target="https://doi.org/10.1055/a-0862-0346" TargetMode="External"/><Relationship Id="rId556" Type="http://schemas.openxmlformats.org/officeDocument/2006/relationships/hyperlink" Target="https://doi.org/10.1093/humrep/deag018" TargetMode="External"/><Relationship Id="rId88" Type="http://schemas.openxmlformats.org/officeDocument/2006/relationships/hyperlink" Target="https://doi.org/10.1002/art.40726" TargetMode="External"/><Relationship Id="rId111" Type="http://schemas.openxmlformats.org/officeDocument/2006/relationships/hyperlink" Target="https://doi.org/10.2337/dc25-S014" TargetMode="External"/><Relationship Id="rId153" Type="http://schemas.openxmlformats.org/officeDocument/2006/relationships/hyperlink" Target="https://doi.org/10.1016/j.jacc.2018.10.044" TargetMode="External"/><Relationship Id="rId195" Type="http://schemas.openxmlformats.org/officeDocument/2006/relationships/hyperlink" Target="https://doi.org/10.1016/j.jacc.2020.11.018" TargetMode="External"/><Relationship Id="rId209" Type="http://schemas.openxmlformats.org/officeDocument/2006/relationships/hyperlink" Target="https://doi.org/10.1016/j.jacc.2025.09.006" TargetMode="External"/><Relationship Id="rId360" Type="http://schemas.openxmlformats.org/officeDocument/2006/relationships/hyperlink" Target="https://doi.org/10.1136/gutjnl-2019-319915" TargetMode="External"/><Relationship Id="rId416" Type="http://schemas.openxmlformats.org/officeDocument/2006/relationships/hyperlink" Target="https://doi.org/10.1136/bmjresp-2016-000170" TargetMode="External"/><Relationship Id="rId598" Type="http://schemas.openxmlformats.org/officeDocument/2006/relationships/hyperlink" Target="https://doi.org/10.1002/hem3.150" TargetMode="External"/><Relationship Id="rId220" Type="http://schemas.openxmlformats.org/officeDocument/2006/relationships/hyperlink" Target="https://doi.org/10.1016/j.jacc.2023.08.017" TargetMode="External"/><Relationship Id="rId458" Type="http://schemas.openxmlformats.org/officeDocument/2006/relationships/hyperlink" Target="https://doi.org/10.1093/ejendo/lvad096" TargetMode="External"/><Relationship Id="rId623" Type="http://schemas.openxmlformats.org/officeDocument/2006/relationships/hyperlink" Target="https://doi.org/10.1016/j.esmoop.2025.105125" TargetMode="External"/><Relationship Id="rId665" Type="http://schemas.openxmlformats.org/officeDocument/2006/relationships/hyperlink" Target="https://doi.org/10.1093/cid/cix959" TargetMode="External"/><Relationship Id="rId15" Type="http://schemas.openxmlformats.org/officeDocument/2006/relationships/hyperlink" Target="https://doi.org/10.5435/JAAOS-D-24-01179" TargetMode="External"/><Relationship Id="rId57" Type="http://schemas.openxmlformats.org/officeDocument/2006/relationships/hyperlink" Target="https://doi.org/10.14309/ajg.0000000000003463" TargetMode="External"/><Relationship Id="rId262" Type="http://schemas.openxmlformats.org/officeDocument/2006/relationships/hyperlink" Target="https://doi.org/10.1016/j.jacc.2023.04.003" TargetMode="External"/><Relationship Id="rId318" Type="http://schemas.openxmlformats.org/officeDocument/2006/relationships/hyperlink" Target="https://doi.org/10.1200/JCO.22.01357" TargetMode="External"/><Relationship Id="rId525" Type="http://schemas.openxmlformats.org/officeDocument/2006/relationships/hyperlink" Target="https://doi.org/10.1055/a-1717-1391" TargetMode="External"/><Relationship Id="rId567" Type="http://schemas.openxmlformats.org/officeDocument/2006/relationships/hyperlink" Target="https://doi.org/10.1093/humrep/deag018" TargetMode="External"/><Relationship Id="rId99" Type="http://schemas.openxmlformats.org/officeDocument/2006/relationships/hyperlink" Target="https://doi.org/10.1002/art.41042" TargetMode="External"/><Relationship Id="rId122" Type="http://schemas.openxmlformats.org/officeDocument/2006/relationships/hyperlink" Target="https://doi.org/10.2337/dc25-S006" TargetMode="External"/><Relationship Id="rId164" Type="http://schemas.openxmlformats.org/officeDocument/2006/relationships/hyperlink" Target="https://doi.org/10.1016/j.jacc.2024.02.014" TargetMode="External"/><Relationship Id="rId371" Type="http://schemas.openxmlformats.org/officeDocument/2006/relationships/hyperlink" Target="https://doi.org/10.1136/gutjnl-2022-327326" TargetMode="External"/><Relationship Id="rId427" Type="http://schemas.openxmlformats.org/officeDocument/2006/relationships/hyperlink" Target="https://doi.org/10.1093/eurheartj/ehac262" TargetMode="External"/><Relationship Id="rId469" Type="http://schemas.openxmlformats.org/officeDocument/2006/relationships/hyperlink" Target="https://doi.org/10.1530/EJE-19-0893" TargetMode="External"/><Relationship Id="rId634" Type="http://schemas.openxmlformats.org/officeDocument/2006/relationships/hyperlink" Target="https://doi.org/10.1002/hem3.150" TargetMode="External"/><Relationship Id="rId676" Type="http://schemas.openxmlformats.org/officeDocument/2006/relationships/hyperlink" Target="https://doi.org/10.1093/cid/civ933" TargetMode="External"/><Relationship Id="rId26" Type="http://schemas.openxmlformats.org/officeDocument/2006/relationships/hyperlink" Target="https://doi.org/10.5435/JAAOS-D-16-00159" TargetMode="External"/><Relationship Id="rId231" Type="http://schemas.openxmlformats.org/officeDocument/2006/relationships/hyperlink" Target="https://doi.org/10.1016/j.jacc.2021.12.012" TargetMode="External"/><Relationship Id="rId273" Type="http://schemas.openxmlformats.org/officeDocument/2006/relationships/hyperlink" Target="https://doi.org/10.1016/j.jacc.2023.04.003" TargetMode="External"/><Relationship Id="rId329" Type="http://schemas.openxmlformats.org/officeDocument/2006/relationships/hyperlink" Target="https://doi.org/10.1200/JCO-25-02115" TargetMode="External"/><Relationship Id="rId480" Type="http://schemas.openxmlformats.org/officeDocument/2006/relationships/hyperlink" Target="https://doi.org/10.1093/ejendo/lvaf206" TargetMode="External"/><Relationship Id="rId536" Type="http://schemas.openxmlformats.org/officeDocument/2006/relationships/hyperlink" Target="https://doi.org/10.1136/ijgc-2023-004486" TargetMode="External"/><Relationship Id="rId68" Type="http://schemas.openxmlformats.org/officeDocument/2006/relationships/hyperlink" Target="https://doi.org/10.14309/ajg.0000000000001278" TargetMode="External"/><Relationship Id="rId133" Type="http://schemas.openxmlformats.org/officeDocument/2006/relationships/hyperlink" Target="https://doi.org/10.2337/dc25-S007" TargetMode="External"/><Relationship Id="rId175" Type="http://schemas.openxmlformats.org/officeDocument/2006/relationships/hyperlink" Target="https://doi.org/10.1016/j.jacc.2025.11.016" TargetMode="External"/><Relationship Id="rId340" Type="http://schemas.openxmlformats.org/officeDocument/2006/relationships/hyperlink" Target="https://doi.org/10.1182/bloodadvances.2018024893" TargetMode="External"/><Relationship Id="rId578" Type="http://schemas.openxmlformats.org/officeDocument/2006/relationships/hyperlink" Target="https://doi.org/10.1007/s00134-023-07050-7" TargetMode="External"/><Relationship Id="rId200" Type="http://schemas.openxmlformats.org/officeDocument/2006/relationships/hyperlink" Target="https://doi.org/10.1016/j.jacc.2025.09.006" TargetMode="External"/><Relationship Id="rId382" Type="http://schemas.openxmlformats.org/officeDocument/2006/relationships/hyperlink" Target="https://doi.org/10.1136/gutjnl-2021-325184" TargetMode="External"/><Relationship Id="rId438" Type="http://schemas.openxmlformats.org/officeDocument/2006/relationships/hyperlink" Target="https://doi.org/10.1093/eurheartj/ehaa575" TargetMode="External"/><Relationship Id="rId603" Type="http://schemas.openxmlformats.org/officeDocument/2006/relationships/hyperlink" Target="https://doi.org/10.1016/j.esmoop.2023.102047" TargetMode="External"/><Relationship Id="rId645" Type="http://schemas.openxmlformats.org/officeDocument/2006/relationships/hyperlink" Target="https://doi.org/10.1210/jc.2018-01865" TargetMode="External"/><Relationship Id="rId242" Type="http://schemas.openxmlformats.org/officeDocument/2006/relationships/hyperlink" Target="https://doi.org/10.1016/j.jacc.2023.08.017" TargetMode="External"/><Relationship Id="rId284" Type="http://schemas.openxmlformats.org/officeDocument/2006/relationships/hyperlink" Target="https://doi.org/10.1016/j.jacc.2025.09.006" TargetMode="External"/><Relationship Id="rId491" Type="http://schemas.openxmlformats.org/officeDocument/2006/relationships/hyperlink" Target="https://doi.org/10.1530/EJE-16-0467" TargetMode="External"/><Relationship Id="rId505" Type="http://schemas.openxmlformats.org/officeDocument/2006/relationships/hyperlink" Target="https://doi.org/10.1055/a-1973-3796" TargetMode="External"/><Relationship Id="rId37" Type="http://schemas.openxmlformats.org/officeDocument/2006/relationships/hyperlink" Target="https://doi.org/10.1542/peds.2017-1904" TargetMode="External"/><Relationship Id="rId79" Type="http://schemas.openxmlformats.org/officeDocument/2006/relationships/hyperlink" Target="https://doi.org/10.7326/M15-1361" TargetMode="External"/><Relationship Id="rId102" Type="http://schemas.openxmlformats.org/officeDocument/2006/relationships/hyperlink" Target="https://doi.org/10.1002/art.40884" TargetMode="External"/><Relationship Id="rId144" Type="http://schemas.openxmlformats.org/officeDocument/2006/relationships/hyperlink" Target="https://doi.org/10.1111/jgs.18372" TargetMode="External"/><Relationship Id="rId547" Type="http://schemas.openxmlformats.org/officeDocument/2006/relationships/hyperlink" Target="https://doi.org/10.1093/hropen/hoad002" TargetMode="External"/><Relationship Id="rId589" Type="http://schemas.openxmlformats.org/officeDocument/2006/relationships/hyperlink" Target="https://doi.org/10.1016/j.annonc.2024.11.006" TargetMode="External"/><Relationship Id="rId90" Type="http://schemas.openxmlformats.org/officeDocument/2006/relationships/hyperlink" Target="https://doi.org/10.1002/art.42507" TargetMode="External"/><Relationship Id="rId186" Type="http://schemas.openxmlformats.org/officeDocument/2006/relationships/hyperlink" Target="https://doi.org/10.1016/j.jacc.2021.07.053" TargetMode="External"/><Relationship Id="rId351" Type="http://schemas.openxmlformats.org/officeDocument/2006/relationships/hyperlink" Target="https://doi.org/10.1182/bloodadvances.2020003265" TargetMode="External"/><Relationship Id="rId393" Type="http://schemas.openxmlformats.org/officeDocument/2006/relationships/hyperlink" Target="https://doi.org/10.1093/rheumatology/keae152" TargetMode="External"/><Relationship Id="rId407" Type="http://schemas.openxmlformats.org/officeDocument/2006/relationships/hyperlink" Target="https://doi.org/10.1136/bmjresp-2016-000170" TargetMode="External"/><Relationship Id="rId449" Type="http://schemas.openxmlformats.org/officeDocument/2006/relationships/hyperlink" Target="https://doi.org/10.1016/j.cmi.2021.11.025" TargetMode="External"/><Relationship Id="rId614" Type="http://schemas.openxmlformats.org/officeDocument/2006/relationships/hyperlink" Target="https://doi.org/10.1016/j.esmoop.2025.105125" TargetMode="External"/><Relationship Id="rId656" Type="http://schemas.openxmlformats.org/officeDocument/2006/relationships/hyperlink" Target="https://doi.org/10.1093/ejendo/lvae050" TargetMode="External"/><Relationship Id="rId211" Type="http://schemas.openxmlformats.org/officeDocument/2006/relationships/hyperlink" Target="https://doi.org/10.1016/j.jacc.2020.11.018" TargetMode="External"/><Relationship Id="rId253" Type="http://schemas.openxmlformats.org/officeDocument/2006/relationships/hyperlink" Target="https://doi.org/10.1016/j.jacc.2021.12.012" TargetMode="External"/><Relationship Id="rId295" Type="http://schemas.openxmlformats.org/officeDocument/2006/relationships/hyperlink" Target="https://doi.org/10.1016/j.jacc.2018.10.044" TargetMode="External"/><Relationship Id="rId309" Type="http://schemas.openxmlformats.org/officeDocument/2006/relationships/hyperlink" Target="https://doi.org/10.1200/JCO-25-02115" TargetMode="External"/><Relationship Id="rId460" Type="http://schemas.openxmlformats.org/officeDocument/2006/relationships/hyperlink" Target="https://doi.org/10.1530/EJE-19-0893" TargetMode="External"/><Relationship Id="rId516" Type="http://schemas.openxmlformats.org/officeDocument/2006/relationships/hyperlink" Target="https://doi.org/10.1055/a-1475-0063" TargetMode="External"/><Relationship Id="rId48" Type="http://schemas.openxmlformats.org/officeDocument/2006/relationships/hyperlink" Target="https://doi.org/10.1002/hep.27210" TargetMode="External"/><Relationship Id="rId113" Type="http://schemas.openxmlformats.org/officeDocument/2006/relationships/hyperlink" Target="https://doi.org/10.2337/dc25-S009" TargetMode="External"/><Relationship Id="rId320" Type="http://schemas.openxmlformats.org/officeDocument/2006/relationships/hyperlink" Target="https://doi.org/10.1200/JCO.20.01924" TargetMode="External"/><Relationship Id="rId558" Type="http://schemas.openxmlformats.org/officeDocument/2006/relationships/hyperlink" Target="https://doi.org/10.1093/humrep/deag018" TargetMode="External"/><Relationship Id="rId155" Type="http://schemas.openxmlformats.org/officeDocument/2006/relationships/hyperlink" Target="https://doi.org/10.1016/j.jacc.2024.02.014" TargetMode="External"/><Relationship Id="rId197" Type="http://schemas.openxmlformats.org/officeDocument/2006/relationships/hyperlink" Target="https://doi.org/10.1016/j.jacc.2021.07.053" TargetMode="External"/><Relationship Id="rId362" Type="http://schemas.openxmlformats.org/officeDocument/2006/relationships/hyperlink" Target="https://doi.org/10.1136/gutjnl-2021-325184" TargetMode="External"/><Relationship Id="rId418" Type="http://schemas.openxmlformats.org/officeDocument/2006/relationships/hyperlink" Target="https://doi.org/10.1136/bmjresp-2016-000170" TargetMode="External"/><Relationship Id="rId625" Type="http://schemas.openxmlformats.org/officeDocument/2006/relationships/hyperlink" Target="https://doi.org/10.1002/hem3.150" TargetMode="External"/><Relationship Id="rId222" Type="http://schemas.openxmlformats.org/officeDocument/2006/relationships/hyperlink" Target="https://doi.org/10.1016/j.jacc.2024.02.013" TargetMode="External"/><Relationship Id="rId264" Type="http://schemas.openxmlformats.org/officeDocument/2006/relationships/hyperlink" Target="https://doi.org/10.1016/j.jacc.2025.11.005" TargetMode="External"/><Relationship Id="rId471" Type="http://schemas.openxmlformats.org/officeDocument/2006/relationships/hyperlink" Target="https://doi.org/10.1093/ejendo/lvad096" TargetMode="External"/><Relationship Id="rId667" Type="http://schemas.openxmlformats.org/officeDocument/2006/relationships/hyperlink" Target="https://doi.org/10.1093/cid/cix636" TargetMode="External"/><Relationship Id="rId17" Type="http://schemas.openxmlformats.org/officeDocument/2006/relationships/hyperlink" Target="https://doi.org/10.5435/JAAOS-D-16-00159" TargetMode="External"/><Relationship Id="rId59" Type="http://schemas.openxmlformats.org/officeDocument/2006/relationships/hyperlink" Target="https://doi.org/10.14309/ajg.0000000000003463" TargetMode="External"/><Relationship Id="rId124" Type="http://schemas.openxmlformats.org/officeDocument/2006/relationships/hyperlink" Target="https://doi.org/10.2337/dc25-S010" TargetMode="External"/><Relationship Id="rId527" Type="http://schemas.openxmlformats.org/officeDocument/2006/relationships/hyperlink" Target="https://doi.org/10.1055/a-1939-4887" TargetMode="External"/><Relationship Id="rId569" Type="http://schemas.openxmlformats.org/officeDocument/2006/relationships/hyperlink" Target="https://doi.org/10.1093/humrep/dew027" TargetMode="External"/><Relationship Id="rId70" Type="http://schemas.openxmlformats.org/officeDocument/2006/relationships/hyperlink" Target="https://doi.org/10.1053/j.gastro.2023.03.214" TargetMode="External"/><Relationship Id="rId166" Type="http://schemas.openxmlformats.org/officeDocument/2006/relationships/hyperlink" Target="https://doi.org/10.1016/j.jacc.2024.02.014" TargetMode="External"/><Relationship Id="rId331" Type="http://schemas.openxmlformats.org/officeDocument/2006/relationships/hyperlink" Target="https://doi.org/10.1200/JCO.23.00293" TargetMode="External"/><Relationship Id="rId373" Type="http://schemas.openxmlformats.org/officeDocument/2006/relationships/hyperlink" Target="https://doi.org/10.1136/gutjnl-2019-319915" TargetMode="External"/><Relationship Id="rId429" Type="http://schemas.openxmlformats.org/officeDocument/2006/relationships/hyperlink" Target="https://doi.org/10.1093/eurheartj/ehac262" TargetMode="External"/><Relationship Id="rId580" Type="http://schemas.openxmlformats.org/officeDocument/2006/relationships/hyperlink" Target="https://doi.org/10.1007/s00134-024-07579-1" TargetMode="External"/><Relationship Id="rId636" Type="http://schemas.openxmlformats.org/officeDocument/2006/relationships/hyperlink" Target="https://doi.org/10.1210/jc.2015-4061" TargetMode="External"/><Relationship Id="rId1" Type="http://schemas.openxmlformats.org/officeDocument/2006/relationships/hyperlink" Target="https://doi.org/10.1212/WNL.0000000000013038" TargetMode="External"/><Relationship Id="rId233" Type="http://schemas.openxmlformats.org/officeDocument/2006/relationships/hyperlink" Target="https://doi.org/10.1016/j.jacc.2017.03.003" TargetMode="External"/><Relationship Id="rId440" Type="http://schemas.openxmlformats.org/officeDocument/2006/relationships/hyperlink" Target="https://doi.org/10.1093/eurheartj/ehz455" TargetMode="External"/><Relationship Id="rId678" Type="http://schemas.openxmlformats.org/officeDocument/2006/relationships/hyperlink" Target="https://doi.org/10.1093/cid/civ933" TargetMode="External"/><Relationship Id="rId28" Type="http://schemas.openxmlformats.org/officeDocument/2006/relationships/hyperlink" Target="https://doi.org/10.1542/peds.2011-1330" TargetMode="External"/><Relationship Id="rId275" Type="http://schemas.openxmlformats.org/officeDocument/2006/relationships/hyperlink" Target="https://doi.org/10.1016/j.jacc.2024.11.009" TargetMode="External"/><Relationship Id="rId300" Type="http://schemas.openxmlformats.org/officeDocument/2006/relationships/hyperlink" Target="https://doi.org/10.1176/appi.ajp.23180001" TargetMode="External"/><Relationship Id="rId482" Type="http://schemas.openxmlformats.org/officeDocument/2006/relationships/hyperlink" Target="https://doi.org/10.1093/ejendo/lvae029" TargetMode="External"/><Relationship Id="rId538" Type="http://schemas.openxmlformats.org/officeDocument/2006/relationships/hyperlink" Target="https://doi.org/10.1136/ijgc-2023-004486" TargetMode="External"/><Relationship Id="rId81" Type="http://schemas.openxmlformats.org/officeDocument/2006/relationships/hyperlink" Target="https://doi.org/10.7326/M16-2367" TargetMode="External"/><Relationship Id="rId135" Type="http://schemas.openxmlformats.org/officeDocument/2006/relationships/hyperlink" Target="https://doi.org/10.2337/dc25-S010" TargetMode="External"/><Relationship Id="rId177" Type="http://schemas.openxmlformats.org/officeDocument/2006/relationships/hyperlink" Target="https://doi.org/10.1016/j.jacc.2018.10.044" TargetMode="External"/><Relationship Id="rId342" Type="http://schemas.openxmlformats.org/officeDocument/2006/relationships/hyperlink" Target="https://doi.org/10.1182/bloodadvances.2018024828" TargetMode="External"/><Relationship Id="rId384" Type="http://schemas.openxmlformats.org/officeDocument/2006/relationships/hyperlink" Target="https://doi.org/10.1111/bjh.15647" TargetMode="External"/><Relationship Id="rId591" Type="http://schemas.openxmlformats.org/officeDocument/2006/relationships/hyperlink" Target="https://doi.org/10.1016/j.esmoop.2024.103496" TargetMode="External"/><Relationship Id="rId605" Type="http://schemas.openxmlformats.org/officeDocument/2006/relationships/hyperlink" Target="https://doi.org/10.1002/hem3.150" TargetMode="External"/><Relationship Id="rId202" Type="http://schemas.openxmlformats.org/officeDocument/2006/relationships/hyperlink" Target="https://doi.org/10.1016/j.jacc.2025.09.006" TargetMode="External"/><Relationship Id="rId244" Type="http://schemas.openxmlformats.org/officeDocument/2006/relationships/hyperlink" Target="https://doi.org/10.1016/j.jacc.2024.06.013" TargetMode="External"/><Relationship Id="rId647" Type="http://schemas.openxmlformats.org/officeDocument/2006/relationships/hyperlink" Target="https://doi.org/10.1210/jc.2018-01865" TargetMode="External"/><Relationship Id="rId39" Type="http://schemas.openxmlformats.org/officeDocument/2006/relationships/hyperlink" Target="https://doi.org/10.1002/hep.31060" TargetMode="External"/><Relationship Id="rId286" Type="http://schemas.openxmlformats.org/officeDocument/2006/relationships/hyperlink" Target="https://doi.org/10.1016/j.jacc.2025.09.006" TargetMode="External"/><Relationship Id="rId451" Type="http://schemas.openxmlformats.org/officeDocument/2006/relationships/hyperlink" Target="https://doi.org/10.1016/j.cmi.2024.05.014" TargetMode="External"/><Relationship Id="rId493" Type="http://schemas.openxmlformats.org/officeDocument/2006/relationships/hyperlink" Target="https://doi.org/10.1093/ejendo/lvaf100" TargetMode="External"/><Relationship Id="rId507" Type="http://schemas.openxmlformats.org/officeDocument/2006/relationships/hyperlink" Target="https://doi.org/10.1055/a-0862-0346" TargetMode="External"/><Relationship Id="rId549" Type="http://schemas.openxmlformats.org/officeDocument/2006/relationships/hyperlink" Target="https://doi.org/10.1093/hropen/hoac009" TargetMode="External"/><Relationship Id="rId50" Type="http://schemas.openxmlformats.org/officeDocument/2006/relationships/hyperlink" Target="https://doi.org/10.1002/hep.27210" TargetMode="External"/><Relationship Id="rId104" Type="http://schemas.openxmlformats.org/officeDocument/2006/relationships/hyperlink" Target="https://doi.org/10.1002/art.41752" TargetMode="External"/><Relationship Id="rId146" Type="http://schemas.openxmlformats.org/officeDocument/2006/relationships/hyperlink" Target="https://doi.org/10.1111/jgs.18372" TargetMode="External"/><Relationship Id="rId188" Type="http://schemas.openxmlformats.org/officeDocument/2006/relationships/hyperlink" Target="https://doi.org/10.1016/j.jacc.2022.08.004" TargetMode="External"/><Relationship Id="rId311" Type="http://schemas.openxmlformats.org/officeDocument/2006/relationships/hyperlink" Target="https://doi.org/10.1200/GO.23.00285" TargetMode="External"/><Relationship Id="rId353" Type="http://schemas.openxmlformats.org/officeDocument/2006/relationships/hyperlink" Target="https://doi.org/10.1182/bloodadvances.2020001851" TargetMode="External"/><Relationship Id="rId395" Type="http://schemas.openxmlformats.org/officeDocument/2006/relationships/hyperlink" Target="https://doi.org/10.1093/rheumatology/keac115" TargetMode="External"/><Relationship Id="rId409" Type="http://schemas.openxmlformats.org/officeDocument/2006/relationships/hyperlink" Target="https://doi.org/10.1136/bmjresp-2017-000242" TargetMode="External"/><Relationship Id="rId560" Type="http://schemas.openxmlformats.org/officeDocument/2006/relationships/hyperlink" Target="https://doi.org/10.1093/humrep/deag018" TargetMode="External"/><Relationship Id="rId92" Type="http://schemas.openxmlformats.org/officeDocument/2006/relationships/hyperlink" Target="https://doi.org/10.1002/art.40726" TargetMode="External"/><Relationship Id="rId213" Type="http://schemas.openxmlformats.org/officeDocument/2006/relationships/hyperlink" Target="https://doi.org/10.1016/j.jacc.2022.08.004" TargetMode="External"/><Relationship Id="rId420" Type="http://schemas.openxmlformats.org/officeDocument/2006/relationships/hyperlink" Target="https://doi.org/10.1136/bmjresp-2017-000266" TargetMode="External"/><Relationship Id="rId616" Type="http://schemas.openxmlformats.org/officeDocument/2006/relationships/hyperlink" Target="https://doi.org/10.1016/j.annonc.2024.11.006" TargetMode="External"/><Relationship Id="rId658" Type="http://schemas.openxmlformats.org/officeDocument/2006/relationships/hyperlink" Target="https://doi.org/10.1111/jdv.20639" TargetMode="External"/><Relationship Id="rId255" Type="http://schemas.openxmlformats.org/officeDocument/2006/relationships/hyperlink" Target="https://doi.org/10.1016/j.jacc.2023.04.003" TargetMode="External"/><Relationship Id="rId297" Type="http://schemas.openxmlformats.org/officeDocument/2006/relationships/hyperlink" Target="https://doi.org/10.1016/j.jacc.2021.12.012" TargetMode="External"/><Relationship Id="rId462" Type="http://schemas.openxmlformats.org/officeDocument/2006/relationships/hyperlink" Target="https://doi.org/10.1530/EJE-19-0893" TargetMode="External"/><Relationship Id="rId518" Type="http://schemas.openxmlformats.org/officeDocument/2006/relationships/hyperlink" Target="https://doi.org/10.1055/a-2176-2440" TargetMode="External"/><Relationship Id="rId115" Type="http://schemas.openxmlformats.org/officeDocument/2006/relationships/hyperlink" Target="https://doi.org/10.2337/dc25-S011" TargetMode="External"/><Relationship Id="rId157" Type="http://schemas.openxmlformats.org/officeDocument/2006/relationships/hyperlink" Target="https://doi.org/10.1016/j.jacc.2024.02.013" TargetMode="External"/><Relationship Id="rId322" Type="http://schemas.openxmlformats.org/officeDocument/2006/relationships/hyperlink" Target="https://doi.org/10.1200/JCO.20.01364" TargetMode="External"/><Relationship Id="rId364" Type="http://schemas.openxmlformats.org/officeDocument/2006/relationships/hyperlink" Target="https://doi.org/10.1136/gutjnl-2022-327326" TargetMode="External"/><Relationship Id="rId61" Type="http://schemas.openxmlformats.org/officeDocument/2006/relationships/hyperlink" Target="https://doi.org/10.14309/ajg.0000000000001122" TargetMode="External"/><Relationship Id="rId199" Type="http://schemas.openxmlformats.org/officeDocument/2006/relationships/hyperlink" Target="https://doi.org/10.1016/j.jacc.2020.11.018" TargetMode="External"/><Relationship Id="rId571" Type="http://schemas.openxmlformats.org/officeDocument/2006/relationships/hyperlink" Target="https://doi.org/10.1093/hropen/hoac009" TargetMode="External"/><Relationship Id="rId627" Type="http://schemas.openxmlformats.org/officeDocument/2006/relationships/hyperlink" Target="https://doi.org/10.1002/hem3.150" TargetMode="External"/><Relationship Id="rId669" Type="http://schemas.openxmlformats.org/officeDocument/2006/relationships/hyperlink" Target="https://doi.org/10.1093/cid/ciy866" TargetMode="External"/><Relationship Id="rId19" Type="http://schemas.openxmlformats.org/officeDocument/2006/relationships/hyperlink" Target="https://www.orthoguidelines.org/topic?id=1051&amp;tab=all_guidelines" TargetMode="External"/><Relationship Id="rId224" Type="http://schemas.openxmlformats.org/officeDocument/2006/relationships/hyperlink" Target="https://doi.org/10.1016/j.jacc.2025.09.006" TargetMode="External"/><Relationship Id="rId266" Type="http://schemas.openxmlformats.org/officeDocument/2006/relationships/hyperlink" Target="https://doi.org/10.1016/j.jacc.2024.02.013" TargetMode="External"/><Relationship Id="rId431" Type="http://schemas.openxmlformats.org/officeDocument/2006/relationships/hyperlink" Target="https://doi.org/10.1093/eurheartj/ehac262" TargetMode="External"/><Relationship Id="rId473" Type="http://schemas.openxmlformats.org/officeDocument/2006/relationships/hyperlink" Target="https://doi.org/10.1530/EJE-16-0467" TargetMode="External"/><Relationship Id="rId529" Type="http://schemas.openxmlformats.org/officeDocument/2006/relationships/hyperlink" Target="https://doi.org/10.1136/ijgc-2023-004486" TargetMode="External"/><Relationship Id="rId680" Type="http://schemas.openxmlformats.org/officeDocument/2006/relationships/hyperlink" Target="https://doi.org/10.1093/cid/cix636" TargetMode="External"/><Relationship Id="rId30" Type="http://schemas.openxmlformats.org/officeDocument/2006/relationships/hyperlink" Target="https://doi.org/10.1542/peds.2016-0590" TargetMode="External"/><Relationship Id="rId126" Type="http://schemas.openxmlformats.org/officeDocument/2006/relationships/hyperlink" Target="https://doi.org/10.2337/dc25-S002" TargetMode="External"/><Relationship Id="rId168" Type="http://schemas.openxmlformats.org/officeDocument/2006/relationships/hyperlink" Target="https://doi.org/10.1016/j.jacc.2023.08.017" TargetMode="External"/><Relationship Id="rId333" Type="http://schemas.openxmlformats.org/officeDocument/2006/relationships/hyperlink" Target="https://doi.org/10.1200/OP-25-00133" TargetMode="External"/><Relationship Id="rId540" Type="http://schemas.openxmlformats.org/officeDocument/2006/relationships/hyperlink" Target="https://doi.org/10.1136/ijgc-2023-004486" TargetMode="External"/><Relationship Id="rId72" Type="http://schemas.openxmlformats.org/officeDocument/2006/relationships/hyperlink" Target="https://doi.org/10.14309/ajg.0000000000001122" TargetMode="External"/><Relationship Id="rId375" Type="http://schemas.openxmlformats.org/officeDocument/2006/relationships/hyperlink" Target="https://doi.org/10.1136/gutjnl-2024-334395" TargetMode="External"/><Relationship Id="rId582" Type="http://schemas.openxmlformats.org/officeDocument/2006/relationships/hyperlink" Target="https://doi.org/10.1016/j.esmoop.2023.101624" TargetMode="External"/><Relationship Id="rId638" Type="http://schemas.openxmlformats.org/officeDocument/2006/relationships/hyperlink" Target="https://doi.org/10.1210/jc.2008-0125" TargetMode="External"/><Relationship Id="rId3" Type="http://schemas.openxmlformats.org/officeDocument/2006/relationships/hyperlink" Target="https://doi.org/10.1212/WNL.0000000000008095" TargetMode="External"/><Relationship Id="rId235" Type="http://schemas.openxmlformats.org/officeDocument/2006/relationships/hyperlink" Target="https://doi.org/10.1016/j.jacc.2021.09.006" TargetMode="External"/><Relationship Id="rId277" Type="http://schemas.openxmlformats.org/officeDocument/2006/relationships/hyperlink" Target="https://doi.org/10.1016/j.jacc.2023.04.003" TargetMode="External"/><Relationship Id="rId400" Type="http://schemas.openxmlformats.org/officeDocument/2006/relationships/hyperlink" Target="https://doi.org/10.1093/rheumatology/keac551" TargetMode="External"/><Relationship Id="rId442" Type="http://schemas.openxmlformats.org/officeDocument/2006/relationships/hyperlink" Target="https://doi.org/10.1093/eurheartj/ehad192" TargetMode="External"/><Relationship Id="rId484" Type="http://schemas.openxmlformats.org/officeDocument/2006/relationships/hyperlink" Target="https://doi.org/10.1530/EJE-18-0608" TargetMode="External"/><Relationship Id="rId137" Type="http://schemas.openxmlformats.org/officeDocument/2006/relationships/hyperlink" Target="https://doi.org/10.1177/15357597261433266" TargetMode="External"/><Relationship Id="rId302" Type="http://schemas.openxmlformats.org/officeDocument/2006/relationships/hyperlink" Target="https://doi.org/10.1200/JGO.18.00213" TargetMode="External"/><Relationship Id="rId344" Type="http://schemas.openxmlformats.org/officeDocument/2006/relationships/hyperlink" Target="https://doi.org/10.1182/bloodadvances.2019000916" TargetMode="External"/><Relationship Id="rId41" Type="http://schemas.openxmlformats.org/officeDocument/2006/relationships/hyperlink" Target="https://doi.org/10.1097/HEP.0000000000000466" TargetMode="External"/><Relationship Id="rId83" Type="http://schemas.openxmlformats.org/officeDocument/2006/relationships/hyperlink" Target="https://doi.org/10.1002/art.40726" TargetMode="External"/><Relationship Id="rId179" Type="http://schemas.openxmlformats.org/officeDocument/2006/relationships/hyperlink" Target="https://doi.org/10.1016/j.jacc.2017.10.054" TargetMode="External"/><Relationship Id="rId386" Type="http://schemas.openxmlformats.org/officeDocument/2006/relationships/hyperlink" Target="https://doi.org/10.1111/bjh.15647" TargetMode="External"/><Relationship Id="rId551" Type="http://schemas.openxmlformats.org/officeDocument/2006/relationships/hyperlink" Target="https://doi.org/10.1093/hropen/hoac057" TargetMode="External"/><Relationship Id="rId593" Type="http://schemas.openxmlformats.org/officeDocument/2006/relationships/hyperlink" Target="https://doi.org/10.1016/j.esmoop.2025.105125" TargetMode="External"/><Relationship Id="rId607" Type="http://schemas.openxmlformats.org/officeDocument/2006/relationships/hyperlink" Target="https://doi.org/10.1016/j.esmoop.2024.104121" TargetMode="External"/><Relationship Id="rId649" Type="http://schemas.openxmlformats.org/officeDocument/2006/relationships/hyperlink" Target="https://doi.org/10.1210/jc.2015-1818" TargetMode="External"/><Relationship Id="rId190" Type="http://schemas.openxmlformats.org/officeDocument/2006/relationships/hyperlink" Target="https://doi.org/10.1016/j.jacc.2024.11.009" TargetMode="External"/><Relationship Id="rId204" Type="http://schemas.openxmlformats.org/officeDocument/2006/relationships/hyperlink" Target="https://doi.org/10.1016/j.jacc.2025.09.006" TargetMode="External"/><Relationship Id="rId246" Type="http://schemas.openxmlformats.org/officeDocument/2006/relationships/hyperlink" Target="https://doi.org/10.1016/j.jacc.2020.11.018" TargetMode="External"/><Relationship Id="rId288" Type="http://schemas.openxmlformats.org/officeDocument/2006/relationships/hyperlink" Target="https://doi.org/10.1016/j.jacc.2020.11.018" TargetMode="External"/><Relationship Id="rId411" Type="http://schemas.openxmlformats.org/officeDocument/2006/relationships/hyperlink" Target="https://doi.org/10.1136/bmjresp-2018-000348" TargetMode="External"/><Relationship Id="rId453" Type="http://schemas.openxmlformats.org/officeDocument/2006/relationships/hyperlink" Target="https://doi.org/10.1016/j.cmi.2020.09.041" TargetMode="External"/><Relationship Id="rId509" Type="http://schemas.openxmlformats.org/officeDocument/2006/relationships/hyperlink" Target="https://doi.org/10.1055/a-1939-4887" TargetMode="External"/><Relationship Id="rId660" Type="http://schemas.openxmlformats.org/officeDocument/2006/relationships/hyperlink" Target="https://doi.org/10.1111/jdv.20639" TargetMode="External"/><Relationship Id="rId106" Type="http://schemas.openxmlformats.org/officeDocument/2006/relationships/hyperlink" Target="https://doi.org/10.1002/art.41142" TargetMode="External"/><Relationship Id="rId313" Type="http://schemas.openxmlformats.org/officeDocument/2006/relationships/hyperlink" Target="https://doi.org/10.1200/JCO-25-02115" TargetMode="External"/><Relationship Id="rId495" Type="http://schemas.openxmlformats.org/officeDocument/2006/relationships/hyperlink" Target="https://doi.org/10.1055/a-1303-7449" TargetMode="External"/><Relationship Id="rId10" Type="http://schemas.openxmlformats.org/officeDocument/2006/relationships/hyperlink" Target="https://doi.org/10.1002/ohn.648" TargetMode="External"/><Relationship Id="rId52" Type="http://schemas.openxmlformats.org/officeDocument/2006/relationships/hyperlink" Target="https://doi.org/10.14309/ajg.0000000000001680" TargetMode="External"/><Relationship Id="rId94" Type="http://schemas.openxmlformats.org/officeDocument/2006/relationships/hyperlink" Target="https://doi.org/10.1002/art.41042" TargetMode="External"/><Relationship Id="rId148" Type="http://schemas.openxmlformats.org/officeDocument/2006/relationships/hyperlink" Target="https://doi.org/10.1016/j.jacc.2025.11.005" TargetMode="External"/><Relationship Id="rId355" Type="http://schemas.openxmlformats.org/officeDocument/2006/relationships/hyperlink" Target="https://doi.org/10.1182/bloodadvances.2018024489" TargetMode="External"/><Relationship Id="rId397" Type="http://schemas.openxmlformats.org/officeDocument/2006/relationships/hyperlink" Target="https://doi.org/10.1093/rheumatology/keac115" TargetMode="External"/><Relationship Id="rId520" Type="http://schemas.openxmlformats.org/officeDocument/2006/relationships/hyperlink" Target="https://doi.org/10.1055/a-1611-5091" TargetMode="External"/><Relationship Id="rId562" Type="http://schemas.openxmlformats.org/officeDocument/2006/relationships/hyperlink" Target="https://doi.org/10.1093/hropen/hoad002" TargetMode="External"/><Relationship Id="rId618" Type="http://schemas.openxmlformats.org/officeDocument/2006/relationships/hyperlink" Target="https://doi.org/10.1002/hem3.70128" TargetMode="External"/><Relationship Id="rId215" Type="http://schemas.openxmlformats.org/officeDocument/2006/relationships/hyperlink" Target="https://doi.org/10.1016/j.jacc.2015.08.856" TargetMode="External"/><Relationship Id="rId257" Type="http://schemas.openxmlformats.org/officeDocument/2006/relationships/hyperlink" Target="https://doi.org/10.1016/j.jacc.2023.08.017" TargetMode="External"/><Relationship Id="rId422" Type="http://schemas.openxmlformats.org/officeDocument/2006/relationships/hyperlink" Target="https://doi.org/10.1136/bmjresp-2018-000348" TargetMode="External"/><Relationship Id="rId464" Type="http://schemas.openxmlformats.org/officeDocument/2006/relationships/hyperlink" Target="https://doi.org/10.1530/EJE-17-0430" TargetMode="External"/><Relationship Id="rId299" Type="http://schemas.openxmlformats.org/officeDocument/2006/relationships/hyperlink" Target="https://doi.org/10.1176/appi.ajp.23180001" TargetMode="External"/><Relationship Id="rId63" Type="http://schemas.openxmlformats.org/officeDocument/2006/relationships/hyperlink" Target="https://doi.org/10.14309/ajg.0000000000001036" TargetMode="External"/><Relationship Id="rId159" Type="http://schemas.openxmlformats.org/officeDocument/2006/relationships/hyperlink" Target="https://doi.org/10.1016/j.jacc.2024.02.013" TargetMode="External"/><Relationship Id="rId366" Type="http://schemas.openxmlformats.org/officeDocument/2006/relationships/hyperlink" Target="https://doi.org/10.1136/gutjnl-2024-334395" TargetMode="External"/><Relationship Id="rId573" Type="http://schemas.openxmlformats.org/officeDocument/2006/relationships/hyperlink" Target="https://doi.org/10.1093/hropen/hoac057" TargetMode="External"/><Relationship Id="rId226" Type="http://schemas.openxmlformats.org/officeDocument/2006/relationships/hyperlink" Target="https://doi.org/10.1016/j.jacc.2025.11.016" TargetMode="External"/><Relationship Id="rId433" Type="http://schemas.openxmlformats.org/officeDocument/2006/relationships/hyperlink" Target="https://doi.org/10.1093/eurheartj/ehae178" TargetMode="External"/><Relationship Id="rId640" Type="http://schemas.openxmlformats.org/officeDocument/2006/relationships/hyperlink" Target="https://doi.org/10.1210/jc.2008-0125" TargetMode="External"/><Relationship Id="rId74" Type="http://schemas.openxmlformats.org/officeDocument/2006/relationships/hyperlink" Target="https://doi.org/10.14309/ajg.0000000000001538" TargetMode="External"/><Relationship Id="rId377" Type="http://schemas.openxmlformats.org/officeDocument/2006/relationships/hyperlink" Target="https://doi.org/10.1136/gutjnl-2019-319915" TargetMode="External"/><Relationship Id="rId500" Type="http://schemas.openxmlformats.org/officeDocument/2006/relationships/hyperlink" Target="https://doi.org/10.1055/a-1397-3198" TargetMode="External"/><Relationship Id="rId584" Type="http://schemas.openxmlformats.org/officeDocument/2006/relationships/hyperlink" Target="https://doi.org/10.1002/hem3.70128" TargetMode="External"/><Relationship Id="rId5" Type="http://schemas.openxmlformats.org/officeDocument/2006/relationships/hyperlink" Target="https://doi.org/10.1212/WNL.0000000000005926" TargetMode="External"/><Relationship Id="rId237" Type="http://schemas.openxmlformats.org/officeDocument/2006/relationships/hyperlink" Target="https://doi.org/10.1016/j.jacc.2013.11.004" TargetMode="External"/><Relationship Id="rId444" Type="http://schemas.openxmlformats.org/officeDocument/2006/relationships/hyperlink" Target="https://doi.org/10.1093/eurheartj/ehad193" TargetMode="External"/><Relationship Id="rId651" Type="http://schemas.openxmlformats.org/officeDocument/2006/relationships/hyperlink" Target="https://doi.org/10.1210/jc.2018-01865" TargetMode="External"/><Relationship Id="rId290" Type="http://schemas.openxmlformats.org/officeDocument/2006/relationships/hyperlink" Target="https://doi.org/10.1016/j.jacc.2020.11.018" TargetMode="External"/><Relationship Id="rId304" Type="http://schemas.openxmlformats.org/officeDocument/2006/relationships/hyperlink" Target="https://doi.org/10.1200/JCO.20.03364" TargetMode="External"/><Relationship Id="rId388" Type="http://schemas.openxmlformats.org/officeDocument/2006/relationships/hyperlink" Target="https://doi.org/10.1093/rheumatology/keae394" TargetMode="External"/><Relationship Id="rId511" Type="http://schemas.openxmlformats.org/officeDocument/2006/relationships/hyperlink" Target="https://doi.org/10.1055/a-1369-5274" TargetMode="External"/><Relationship Id="rId609" Type="http://schemas.openxmlformats.org/officeDocument/2006/relationships/hyperlink" Target="https://doi.org/10.1002/hem3.70128" TargetMode="External"/><Relationship Id="rId85" Type="http://schemas.openxmlformats.org/officeDocument/2006/relationships/hyperlink" Target="https://doi.org/10.1002/art.42507" TargetMode="External"/><Relationship Id="rId150" Type="http://schemas.openxmlformats.org/officeDocument/2006/relationships/hyperlink" Target="https://doi.org/10.1016/j.jacc.2021.12.012" TargetMode="External"/><Relationship Id="rId595" Type="http://schemas.openxmlformats.org/officeDocument/2006/relationships/hyperlink" Target="https://doi.org/10.1002/hem3.70128" TargetMode="External"/><Relationship Id="rId248" Type="http://schemas.openxmlformats.org/officeDocument/2006/relationships/hyperlink" Target="https://doi.org/10.1016/j.jacc.2025.11.005" TargetMode="External"/><Relationship Id="rId455" Type="http://schemas.openxmlformats.org/officeDocument/2006/relationships/hyperlink" Target="https://doi.org/10.1007/s00259-019-4263-9" TargetMode="External"/><Relationship Id="rId662" Type="http://schemas.openxmlformats.org/officeDocument/2006/relationships/hyperlink" Target="https://goldcopd.org/wp-content/uploads/2026/01/GOLD-REPORT-2026-v1.3-8Dec2025_WMV2.pdf" TargetMode="External"/><Relationship Id="rId12" Type="http://schemas.openxmlformats.org/officeDocument/2006/relationships/hyperlink" Target="https://doi.org/10.1177/0194599816689667" TargetMode="External"/><Relationship Id="rId108" Type="http://schemas.openxmlformats.org/officeDocument/2006/relationships/hyperlink" Target="https://doi.org/10.1002/art.41042" TargetMode="External"/><Relationship Id="rId315" Type="http://schemas.openxmlformats.org/officeDocument/2006/relationships/hyperlink" Target="https://doi.org/10.1200/JCO.20.01924" TargetMode="External"/><Relationship Id="rId522" Type="http://schemas.openxmlformats.org/officeDocument/2006/relationships/hyperlink" Target="https://doi.org/10.1055/a-1496-8969" TargetMode="External"/><Relationship Id="rId96" Type="http://schemas.openxmlformats.org/officeDocument/2006/relationships/hyperlink" Target="https://doi.org/10.1002/art.41042" TargetMode="External"/><Relationship Id="rId161" Type="http://schemas.openxmlformats.org/officeDocument/2006/relationships/hyperlink" Target="https://doi.org/10.1016/j.jacc.2019.03.010" TargetMode="External"/><Relationship Id="rId399" Type="http://schemas.openxmlformats.org/officeDocument/2006/relationships/hyperlink" Target="https://doi.org/10.1093/rheumatology/keac115" TargetMode="External"/><Relationship Id="rId259" Type="http://schemas.openxmlformats.org/officeDocument/2006/relationships/hyperlink" Target="https://doi.org/10.1016/j.jacc.2021.09.006" TargetMode="External"/><Relationship Id="rId466" Type="http://schemas.openxmlformats.org/officeDocument/2006/relationships/hyperlink" Target="https://doi.org/10.1093/ejendo/lvad066" TargetMode="External"/><Relationship Id="rId673" Type="http://schemas.openxmlformats.org/officeDocument/2006/relationships/hyperlink" Target="https://doi.org/10.1093/cid/ciaa1215" TargetMode="External"/><Relationship Id="rId23" Type="http://schemas.openxmlformats.org/officeDocument/2006/relationships/hyperlink" Target="https://doi.org/10.5435/JAAOS-D-22-00125" TargetMode="External"/><Relationship Id="rId119" Type="http://schemas.openxmlformats.org/officeDocument/2006/relationships/hyperlink" Target="https://doi.org/10.2337/dc25-S012" TargetMode="External"/><Relationship Id="rId326" Type="http://schemas.openxmlformats.org/officeDocument/2006/relationships/hyperlink" Target="https://doi.org/10.1200/JCO.2017.76.6394" TargetMode="External"/><Relationship Id="rId533" Type="http://schemas.openxmlformats.org/officeDocument/2006/relationships/hyperlink" Target="https://doi.org/10.1136/ijgc-2023-004429" TargetMode="External"/><Relationship Id="rId172" Type="http://schemas.openxmlformats.org/officeDocument/2006/relationships/hyperlink" Target="https://doi.org/10.1016/j.jacc.2018.10.044" TargetMode="External"/><Relationship Id="rId477" Type="http://schemas.openxmlformats.org/officeDocument/2006/relationships/hyperlink" Target="https://doi.org/10.1530/EJE-19-0893" TargetMode="External"/><Relationship Id="rId600" Type="http://schemas.openxmlformats.org/officeDocument/2006/relationships/hyperlink" Target="https://doi.org/10.1007/s12094-018-1983-4" TargetMode="External"/><Relationship Id="rId337" Type="http://schemas.openxmlformats.org/officeDocument/2006/relationships/hyperlink" Target="https://doi.org/10.1097/DCR.0000000000003450" TargetMode="External"/><Relationship Id="rId34" Type="http://schemas.openxmlformats.org/officeDocument/2006/relationships/hyperlink" Target="https://doi.org/10.1542/peds.2017-1904" TargetMode="External"/><Relationship Id="rId544" Type="http://schemas.openxmlformats.org/officeDocument/2006/relationships/hyperlink" Target="https://doi.org/10.1093/hropen/hoac009" TargetMode="External"/><Relationship Id="rId183" Type="http://schemas.openxmlformats.org/officeDocument/2006/relationships/hyperlink" Target="https://doi.org/10.1016/j.jacc.2021.12.012" TargetMode="External"/><Relationship Id="rId390" Type="http://schemas.openxmlformats.org/officeDocument/2006/relationships/hyperlink" Target="https://doi.org/10.1093/rheumatology/keac551" TargetMode="External"/><Relationship Id="rId404" Type="http://schemas.openxmlformats.org/officeDocument/2006/relationships/hyperlink" Target="https://doi.org/10.1136/bmjresp-2016-000133" TargetMode="External"/><Relationship Id="rId611" Type="http://schemas.openxmlformats.org/officeDocument/2006/relationships/hyperlink" Target="https://doi.org/10.1016/j.esmoop.2023.101195" TargetMode="External"/><Relationship Id="rId250" Type="http://schemas.openxmlformats.org/officeDocument/2006/relationships/hyperlink" Target="https://doi.org/10.1016/j.jacc.2024.02.013" TargetMode="External"/><Relationship Id="rId488" Type="http://schemas.openxmlformats.org/officeDocument/2006/relationships/hyperlink" Target="https://doi.org/10.1093/ejendo/lvad096" TargetMode="External"/><Relationship Id="rId45" Type="http://schemas.openxmlformats.org/officeDocument/2006/relationships/hyperlink" Target="https://doi.org/10.1002/hep.27210" TargetMode="External"/><Relationship Id="rId110" Type="http://schemas.openxmlformats.org/officeDocument/2006/relationships/hyperlink" Target="https://doi.org/10.2337/dc25-S009" TargetMode="External"/><Relationship Id="rId348" Type="http://schemas.openxmlformats.org/officeDocument/2006/relationships/hyperlink" Target="https://doi.org/10.1182/bloodadvances.2018024786" TargetMode="External"/><Relationship Id="rId555" Type="http://schemas.openxmlformats.org/officeDocument/2006/relationships/hyperlink" Target="https://doi.org/10.1093/humrep/deag018" TargetMode="External"/><Relationship Id="rId194" Type="http://schemas.openxmlformats.org/officeDocument/2006/relationships/hyperlink" Target="https://doi.org/10.1016/j.jacc.2025.11.005" TargetMode="External"/><Relationship Id="rId208" Type="http://schemas.openxmlformats.org/officeDocument/2006/relationships/hyperlink" Target="https://doi.org/10.1016/j.jacc.2025.09.006" TargetMode="External"/><Relationship Id="rId415" Type="http://schemas.openxmlformats.org/officeDocument/2006/relationships/hyperlink" Target="https://doi.org/10.1136/bmjresp-2017-000266" TargetMode="External"/><Relationship Id="rId622" Type="http://schemas.openxmlformats.org/officeDocument/2006/relationships/hyperlink" Target="https://doi.org/10.1002/hem3.89" TargetMode="External"/><Relationship Id="rId261" Type="http://schemas.openxmlformats.org/officeDocument/2006/relationships/hyperlink" Target="https://doi.org/10.1016/j.jacc.2018.10.044" TargetMode="External"/><Relationship Id="rId499" Type="http://schemas.openxmlformats.org/officeDocument/2006/relationships/hyperlink" Target="https://doi.org/10.1055/a-1303-7449" TargetMode="External"/><Relationship Id="rId56" Type="http://schemas.openxmlformats.org/officeDocument/2006/relationships/hyperlink" Target="https://doi.org/10.14309/ajg.0000000000001538" TargetMode="External"/><Relationship Id="rId359" Type="http://schemas.openxmlformats.org/officeDocument/2006/relationships/hyperlink" Target="https://doi.org/10.1136/gutjnl-2024-334395" TargetMode="External"/><Relationship Id="rId566" Type="http://schemas.openxmlformats.org/officeDocument/2006/relationships/hyperlink" Target="https://doi.org/10.1093/hropen/hoac009" TargetMode="External"/><Relationship Id="rId121" Type="http://schemas.openxmlformats.org/officeDocument/2006/relationships/hyperlink" Target="https://doi.org/10.2337/dc25-S014" TargetMode="External"/><Relationship Id="rId219" Type="http://schemas.openxmlformats.org/officeDocument/2006/relationships/hyperlink" Target="https://doi.org/10.1016/j.jacc.2022.08.004" TargetMode="External"/><Relationship Id="rId426" Type="http://schemas.openxmlformats.org/officeDocument/2006/relationships/hyperlink" Target="https://doi.org/10.1111/bdi.12609" TargetMode="External"/><Relationship Id="rId633" Type="http://schemas.openxmlformats.org/officeDocument/2006/relationships/hyperlink" Target="https://doi.org/10.1016/j.esmoop.2025.106019" TargetMode="External"/><Relationship Id="rId67" Type="http://schemas.openxmlformats.org/officeDocument/2006/relationships/hyperlink" Target="https://doi.org/10.14309/ajg.0000000000000486" TargetMode="External"/><Relationship Id="rId272" Type="http://schemas.openxmlformats.org/officeDocument/2006/relationships/hyperlink" Target="https://doi.org/10.1016/j.jacc.2021.09.006" TargetMode="External"/><Relationship Id="rId577" Type="http://schemas.openxmlformats.org/officeDocument/2006/relationships/hyperlink" Target="https://doi.org/10.1007/s00134-023-07050-7" TargetMode="External"/><Relationship Id="rId132" Type="http://schemas.openxmlformats.org/officeDocument/2006/relationships/hyperlink" Target="https://doi.org/10.2337/dc25-S005" TargetMode="External"/><Relationship Id="rId437" Type="http://schemas.openxmlformats.org/officeDocument/2006/relationships/hyperlink" Target="https://doi.org/10.1093/eurheartj/ehaa554" TargetMode="External"/><Relationship Id="rId644" Type="http://schemas.openxmlformats.org/officeDocument/2006/relationships/hyperlink" Target="https://doi.org/10.1210/jc.2014-2700" TargetMode="External"/><Relationship Id="rId283" Type="http://schemas.openxmlformats.org/officeDocument/2006/relationships/hyperlink" Target="https://doi.org/10.1016/j.jacc.2024.02.013" TargetMode="External"/><Relationship Id="rId490" Type="http://schemas.openxmlformats.org/officeDocument/2006/relationships/hyperlink" Target="https://doi.org/10.1530/EJE-19-0893" TargetMode="External"/><Relationship Id="rId504" Type="http://schemas.openxmlformats.org/officeDocument/2006/relationships/hyperlink" Target="https://doi.org/10.1055/a-1075-4080" TargetMode="External"/><Relationship Id="rId78" Type="http://schemas.openxmlformats.org/officeDocument/2006/relationships/hyperlink" Target="https://doi.org/10.1097/AOG.0000000000004082" TargetMode="External"/><Relationship Id="rId143" Type="http://schemas.openxmlformats.org/officeDocument/2006/relationships/hyperlink" Target="https://doi.org/10.1111/jgs.18372" TargetMode="External"/><Relationship Id="rId350" Type="http://schemas.openxmlformats.org/officeDocument/2006/relationships/hyperlink" Target="https://doi.org/10.1182/bloodadvances.2019000975" TargetMode="External"/><Relationship Id="rId588" Type="http://schemas.openxmlformats.org/officeDocument/2006/relationships/hyperlink" Target="https://doi.org/10.1016/j.esmoop.2024.103481" TargetMode="External"/><Relationship Id="rId9" Type="http://schemas.openxmlformats.org/officeDocument/2006/relationships/hyperlink" Target="https://doi.org/10.1177/0194599819859885" TargetMode="External"/><Relationship Id="rId210" Type="http://schemas.openxmlformats.org/officeDocument/2006/relationships/hyperlink" Target="https://doi.org/10.1016/j.jacc.2015.08.856" TargetMode="External"/><Relationship Id="rId448" Type="http://schemas.openxmlformats.org/officeDocument/2006/relationships/hyperlink" Target="https://doi.org/10.1007/s00259-019-4263-9" TargetMode="External"/><Relationship Id="rId655" Type="http://schemas.openxmlformats.org/officeDocument/2006/relationships/hyperlink" Target="https://doi.org/10.1210/jc.2014-2700" TargetMode="External"/><Relationship Id="rId294" Type="http://schemas.openxmlformats.org/officeDocument/2006/relationships/hyperlink" Target="https://doi.org/10.1016/j.jacc.2025.09.006" TargetMode="External"/><Relationship Id="rId308" Type="http://schemas.openxmlformats.org/officeDocument/2006/relationships/hyperlink" Target="https://doi.org/10.1200/JCO-25-02115" TargetMode="External"/><Relationship Id="rId515" Type="http://schemas.openxmlformats.org/officeDocument/2006/relationships/hyperlink" Target="https://doi.org/10.1055/a-0959-0505" TargetMode="External"/><Relationship Id="rId89" Type="http://schemas.openxmlformats.org/officeDocument/2006/relationships/hyperlink" Target="https://doi.org/10.1002/art.41142" TargetMode="External"/><Relationship Id="rId154" Type="http://schemas.openxmlformats.org/officeDocument/2006/relationships/hyperlink" Target="https://doi.org/10.1016/j.jacc.2023.04.003" TargetMode="External"/><Relationship Id="rId361" Type="http://schemas.openxmlformats.org/officeDocument/2006/relationships/hyperlink" Target="https://doi.org/10.1136/gutjnl-2024-333171" TargetMode="External"/><Relationship Id="rId599" Type="http://schemas.openxmlformats.org/officeDocument/2006/relationships/hyperlink" Target="https://doi.org/10.1016/j.esmoop.2024.103496" TargetMode="External"/><Relationship Id="rId459" Type="http://schemas.openxmlformats.org/officeDocument/2006/relationships/hyperlink" Target="https://doi.org/10.1530/EJE-16-0467" TargetMode="External"/><Relationship Id="rId666" Type="http://schemas.openxmlformats.org/officeDocument/2006/relationships/hyperlink" Target="https://doi.org/10.1093/ajhp/zxaa036" TargetMode="External"/><Relationship Id="rId16" Type="http://schemas.openxmlformats.org/officeDocument/2006/relationships/hyperlink" Target="https://doi.org/10.5435/JAAOS-D-24-00420" TargetMode="External"/><Relationship Id="rId221" Type="http://schemas.openxmlformats.org/officeDocument/2006/relationships/hyperlink" Target="https://doi.org/10.1016/j.jacc.2024.11.009" TargetMode="External"/><Relationship Id="rId319" Type="http://schemas.openxmlformats.org/officeDocument/2006/relationships/hyperlink" Target="https://doi.org/10.1200/JCO.23.00857" TargetMode="External"/><Relationship Id="rId526" Type="http://schemas.openxmlformats.org/officeDocument/2006/relationships/hyperlink" Target="https://doi.org/10.1055/a-1331-8080" TargetMode="External"/><Relationship Id="rId165" Type="http://schemas.openxmlformats.org/officeDocument/2006/relationships/hyperlink" Target="https://doi.org/10.1016/j.jacc.2020.11.018" TargetMode="External"/><Relationship Id="rId372" Type="http://schemas.openxmlformats.org/officeDocument/2006/relationships/hyperlink" Target="https://doi.org/10.1136/gutjnl-2024-333171" TargetMode="External"/><Relationship Id="rId677" Type="http://schemas.openxmlformats.org/officeDocument/2006/relationships/hyperlink" Target="https://doi.org/10.1093/cid/cix636" TargetMode="External"/><Relationship Id="rId232" Type="http://schemas.openxmlformats.org/officeDocument/2006/relationships/hyperlink" Target="https://doi.org/10.1016/j.jacc.2021.09.006" TargetMode="External"/><Relationship Id="rId27" Type="http://schemas.openxmlformats.org/officeDocument/2006/relationships/hyperlink" Target="https://doi.org/10.5435/JAAOS-D-20-00188" TargetMode="External"/><Relationship Id="rId537" Type="http://schemas.openxmlformats.org/officeDocument/2006/relationships/hyperlink" Target="https://doi.org/10.1136/ijgc-2023-004429" TargetMode="External"/><Relationship Id="rId80" Type="http://schemas.openxmlformats.org/officeDocument/2006/relationships/hyperlink" Target="https://doi.org/10.7326/M15-1361" TargetMode="External"/><Relationship Id="rId176" Type="http://schemas.openxmlformats.org/officeDocument/2006/relationships/hyperlink" Target="https://doi.org/10.1016/j.jacc.2025.05.007" TargetMode="External"/><Relationship Id="rId383" Type="http://schemas.openxmlformats.org/officeDocument/2006/relationships/hyperlink" Target="https://doi.org/10.1111/bjh.15647" TargetMode="External"/><Relationship Id="rId590" Type="http://schemas.openxmlformats.org/officeDocument/2006/relationships/hyperlink" Target="https://doi.org/10.1016/j.esmoop.2022.100602" TargetMode="External"/><Relationship Id="rId604" Type="http://schemas.openxmlformats.org/officeDocument/2006/relationships/hyperlink" Target="https://doi.org/10.1016/j.esmoop.2024.103664" TargetMode="External"/><Relationship Id="rId243" Type="http://schemas.openxmlformats.org/officeDocument/2006/relationships/hyperlink" Target="https://doi.org/10.1016/j.jacc.2025.09.006" TargetMode="External"/><Relationship Id="rId450" Type="http://schemas.openxmlformats.org/officeDocument/2006/relationships/hyperlink" Target="https://doi.org/10.1016/j.cmi.2021.09.038" TargetMode="External"/><Relationship Id="rId38" Type="http://schemas.openxmlformats.org/officeDocument/2006/relationships/hyperlink" Target="https://doi.org/10.1542/peds.2014-2742" TargetMode="External"/><Relationship Id="rId103" Type="http://schemas.openxmlformats.org/officeDocument/2006/relationships/hyperlink" Target="https://doi.org/10.1002/art.41773" TargetMode="External"/><Relationship Id="rId310" Type="http://schemas.openxmlformats.org/officeDocument/2006/relationships/hyperlink" Target="https://doi.org/10.1200/JGO.18.00213" TargetMode="External"/><Relationship Id="rId548" Type="http://schemas.openxmlformats.org/officeDocument/2006/relationships/hyperlink" Target="https://doi.org/10.1093/hropen/hoaa0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89"/>
  <sheetViews>
    <sheetView topLeftCell="E1" workbookViewId="0">
      <pane ySplit="1" topLeftCell="A619" activePane="bottomLeft" state="frozen"/>
      <selection pane="bottomLeft" activeCell="L862" sqref="L862"/>
    </sheetView>
  </sheetViews>
  <sheetFormatPr baseColWidth="10" defaultColWidth="11.1640625" defaultRowHeight="15" customHeight="1"/>
  <cols>
    <col min="1" max="1" width="11" customWidth="1"/>
    <col min="2" max="2" width="22.6640625" customWidth="1"/>
    <col min="3" max="3" width="9" customWidth="1"/>
    <col min="4" max="4" width="20" customWidth="1"/>
    <col min="5" max="5" width="41.5" customWidth="1"/>
    <col min="6" max="6" width="6.33203125" customWidth="1"/>
    <col min="7" max="7" width="40" customWidth="1"/>
    <col min="8" max="8" width="87.1640625" customWidth="1"/>
    <col min="9" max="9" width="34.5" customWidth="1"/>
    <col min="10" max="10" width="6.1640625" customWidth="1"/>
    <col min="11" max="11" width="27.5" customWidth="1"/>
    <col min="12" max="12" width="52.83203125" customWidth="1"/>
    <col min="13" max="14" width="11" customWidth="1"/>
    <col min="15" max="15" width="14.83203125" customWidth="1"/>
    <col min="16" max="21" width="11" customWidth="1"/>
  </cols>
  <sheetData>
    <row r="1" spans="1:15" ht="15.75" customHeight="1">
      <c r="A1" s="1" t="s">
        <v>0</v>
      </c>
      <c r="B1" s="2" t="s">
        <v>1</v>
      </c>
      <c r="C1" s="2" t="s">
        <v>2</v>
      </c>
      <c r="D1" s="2" t="s">
        <v>3</v>
      </c>
      <c r="E1" s="2" t="s">
        <v>4</v>
      </c>
      <c r="F1" s="2" t="s">
        <v>5</v>
      </c>
      <c r="G1" s="2" t="s">
        <v>6</v>
      </c>
      <c r="H1" s="2" t="s">
        <v>7</v>
      </c>
      <c r="I1" s="1" t="s">
        <v>8</v>
      </c>
      <c r="J1" s="1" t="s">
        <v>9</v>
      </c>
      <c r="K1" s="3" t="s">
        <v>3875</v>
      </c>
      <c r="L1" s="3" t="s">
        <v>3876</v>
      </c>
    </row>
    <row r="2" spans="1:15" ht="15.75" customHeight="1">
      <c r="A2" s="1" t="s">
        <v>10</v>
      </c>
      <c r="B2" s="2" t="s">
        <v>11</v>
      </c>
      <c r="C2" s="2" t="s">
        <v>12</v>
      </c>
      <c r="D2" s="2" t="s">
        <v>13</v>
      </c>
      <c r="E2" s="2" t="s">
        <v>14</v>
      </c>
      <c r="F2" s="2" t="s">
        <v>15</v>
      </c>
      <c r="G2" s="2" t="s">
        <v>16</v>
      </c>
      <c r="H2" s="2" t="s">
        <v>17</v>
      </c>
      <c r="I2" s="1" t="s">
        <v>18</v>
      </c>
      <c r="J2" s="1" t="s">
        <v>19</v>
      </c>
      <c r="K2" s="1" t="s">
        <v>20</v>
      </c>
      <c r="L2" s="1"/>
    </row>
    <row r="3" spans="1:15" ht="15.75" customHeight="1">
      <c r="A3" s="1" t="s">
        <v>21</v>
      </c>
      <c r="B3" s="2" t="s">
        <v>22</v>
      </c>
      <c r="C3" s="2" t="s">
        <v>12</v>
      </c>
      <c r="D3" s="2" t="s">
        <v>13</v>
      </c>
      <c r="E3" s="2" t="s">
        <v>23</v>
      </c>
      <c r="F3" s="2" t="s">
        <v>24</v>
      </c>
      <c r="G3" s="2" t="s">
        <v>25</v>
      </c>
      <c r="H3" s="2" t="s">
        <v>26</v>
      </c>
      <c r="I3" s="1" t="s">
        <v>27</v>
      </c>
      <c r="J3" s="1" t="s">
        <v>28</v>
      </c>
      <c r="K3" s="1" t="s">
        <v>20</v>
      </c>
      <c r="L3" s="1"/>
    </row>
    <row r="4" spans="1:15" ht="15.75" customHeight="1">
      <c r="A4" s="1" t="s">
        <v>29</v>
      </c>
      <c r="B4" s="2" t="s">
        <v>30</v>
      </c>
      <c r="C4" s="2" t="s">
        <v>12</v>
      </c>
      <c r="D4" s="2" t="s">
        <v>13</v>
      </c>
      <c r="E4" s="2" t="s">
        <v>31</v>
      </c>
      <c r="F4" s="2" t="s">
        <v>24</v>
      </c>
      <c r="G4" s="2" t="s">
        <v>32</v>
      </c>
      <c r="H4" s="2" t="s">
        <v>33</v>
      </c>
      <c r="I4" s="1" t="s">
        <v>34</v>
      </c>
      <c r="J4" s="1" t="s">
        <v>35</v>
      </c>
      <c r="K4" s="1" t="s">
        <v>20</v>
      </c>
      <c r="L4" s="1"/>
    </row>
    <row r="5" spans="1:15" ht="15.75" customHeight="1">
      <c r="A5" s="1" t="s">
        <v>36</v>
      </c>
      <c r="B5" s="2" t="s">
        <v>11</v>
      </c>
      <c r="C5" s="2" t="s">
        <v>12</v>
      </c>
      <c r="D5" s="2" t="s">
        <v>13</v>
      </c>
      <c r="E5" s="2" t="s">
        <v>14</v>
      </c>
      <c r="F5" s="2" t="s">
        <v>15</v>
      </c>
      <c r="G5" s="2" t="s">
        <v>16</v>
      </c>
      <c r="H5" s="2" t="s">
        <v>37</v>
      </c>
      <c r="I5" s="1" t="s">
        <v>27</v>
      </c>
      <c r="J5" s="1" t="s">
        <v>28</v>
      </c>
      <c r="K5" s="1" t="s">
        <v>20</v>
      </c>
      <c r="L5" s="1"/>
    </row>
    <row r="6" spans="1:15" ht="15.75" customHeight="1">
      <c r="A6" s="1" t="s">
        <v>38</v>
      </c>
      <c r="B6" s="2" t="s">
        <v>22</v>
      </c>
      <c r="C6" s="2" t="s">
        <v>12</v>
      </c>
      <c r="D6" s="2" t="s">
        <v>13</v>
      </c>
      <c r="E6" s="2" t="s">
        <v>23</v>
      </c>
      <c r="F6" s="2" t="s">
        <v>24</v>
      </c>
      <c r="G6" s="2" t="s">
        <v>25</v>
      </c>
      <c r="H6" s="2" t="s">
        <v>39</v>
      </c>
      <c r="I6" s="1" t="s">
        <v>27</v>
      </c>
      <c r="J6" s="1" t="s">
        <v>28</v>
      </c>
      <c r="K6" s="1" t="s">
        <v>40</v>
      </c>
      <c r="L6" s="1"/>
    </row>
    <row r="7" spans="1:15" ht="15.75" customHeight="1">
      <c r="A7" s="1" t="s">
        <v>41</v>
      </c>
      <c r="B7" s="2" t="s">
        <v>42</v>
      </c>
      <c r="C7" s="2" t="s">
        <v>43</v>
      </c>
      <c r="D7" s="2" t="s">
        <v>44</v>
      </c>
      <c r="E7" s="2" t="s">
        <v>45</v>
      </c>
      <c r="F7" s="2" t="s">
        <v>46</v>
      </c>
      <c r="G7" s="2" t="s">
        <v>47</v>
      </c>
      <c r="H7" s="2" t="s">
        <v>48</v>
      </c>
      <c r="I7" s="1" t="s">
        <v>49</v>
      </c>
      <c r="J7" s="1" t="s">
        <v>50</v>
      </c>
      <c r="K7" s="1" t="s">
        <v>20</v>
      </c>
      <c r="L7" s="1"/>
    </row>
    <row r="8" spans="1:15" ht="15.75" customHeight="1">
      <c r="A8" s="1" t="s">
        <v>52</v>
      </c>
      <c r="B8" s="2" t="s">
        <v>42</v>
      </c>
      <c r="C8" s="2" t="s">
        <v>43</v>
      </c>
      <c r="D8" s="2" t="s">
        <v>44</v>
      </c>
      <c r="E8" s="2" t="s">
        <v>45</v>
      </c>
      <c r="F8" s="2" t="s">
        <v>46</v>
      </c>
      <c r="G8" s="2" t="s">
        <v>47</v>
      </c>
      <c r="H8" s="2" t="s">
        <v>53</v>
      </c>
      <c r="I8" s="1" t="s">
        <v>18</v>
      </c>
      <c r="J8" s="1" t="s">
        <v>19</v>
      </c>
      <c r="K8" s="1" t="s">
        <v>20</v>
      </c>
      <c r="L8" s="1"/>
    </row>
    <row r="9" spans="1:15" ht="15.75" customHeight="1">
      <c r="A9" s="1" t="s">
        <v>54</v>
      </c>
      <c r="B9" s="2" t="s">
        <v>42</v>
      </c>
      <c r="C9" s="2" t="s">
        <v>43</v>
      </c>
      <c r="D9" s="2" t="s">
        <v>44</v>
      </c>
      <c r="E9" s="2" t="s">
        <v>45</v>
      </c>
      <c r="F9" s="2" t="s">
        <v>46</v>
      </c>
      <c r="G9" s="2" t="s">
        <v>47</v>
      </c>
      <c r="H9" s="2" t="s">
        <v>55</v>
      </c>
      <c r="I9" s="1" t="s">
        <v>34</v>
      </c>
      <c r="J9" s="1" t="s">
        <v>35</v>
      </c>
      <c r="K9" s="1" t="s">
        <v>20</v>
      </c>
      <c r="L9" s="1"/>
    </row>
    <row r="10" spans="1:15" ht="15.75" customHeight="1">
      <c r="A10" s="1" t="s">
        <v>56</v>
      </c>
      <c r="B10" s="2" t="s">
        <v>57</v>
      </c>
      <c r="C10" s="2" t="s">
        <v>58</v>
      </c>
      <c r="D10" s="2" t="s">
        <v>59</v>
      </c>
      <c r="E10" s="2" t="s">
        <v>60</v>
      </c>
      <c r="F10" s="2" t="s">
        <v>61</v>
      </c>
      <c r="G10" s="2" t="s">
        <v>62</v>
      </c>
      <c r="H10" s="2" t="s">
        <v>63</v>
      </c>
      <c r="I10" s="1" t="s">
        <v>64</v>
      </c>
      <c r="J10" s="1" t="s">
        <v>35</v>
      </c>
      <c r="K10" s="1" t="s">
        <v>20</v>
      </c>
      <c r="L10" s="1"/>
    </row>
    <row r="11" spans="1:15" ht="15.75" customHeight="1">
      <c r="A11" s="1" t="s">
        <v>65</v>
      </c>
      <c r="B11" s="2" t="s">
        <v>57</v>
      </c>
      <c r="C11" s="2" t="s">
        <v>58</v>
      </c>
      <c r="D11" s="2" t="s">
        <v>59</v>
      </c>
      <c r="E11" s="2" t="s">
        <v>60</v>
      </c>
      <c r="F11" s="2" t="s">
        <v>61</v>
      </c>
      <c r="G11" s="2" t="s">
        <v>62</v>
      </c>
      <c r="H11" s="2" t="s">
        <v>66</v>
      </c>
      <c r="I11" s="1" t="s">
        <v>64</v>
      </c>
      <c r="J11" s="1" t="s">
        <v>35</v>
      </c>
      <c r="K11" s="1" t="s">
        <v>20</v>
      </c>
      <c r="L11" s="1"/>
    </row>
    <row r="12" spans="1:15" ht="15.75" customHeight="1">
      <c r="A12" s="1" t="s">
        <v>67</v>
      </c>
      <c r="B12" s="2" t="s">
        <v>68</v>
      </c>
      <c r="C12" s="2" t="s">
        <v>58</v>
      </c>
      <c r="D12" s="2" t="s">
        <v>59</v>
      </c>
      <c r="E12" s="2" t="s">
        <v>69</v>
      </c>
      <c r="F12" s="2" t="s">
        <v>61</v>
      </c>
      <c r="G12" s="2" t="s">
        <v>70</v>
      </c>
      <c r="H12" s="2" t="s">
        <v>71</v>
      </c>
      <c r="I12" s="1" t="s">
        <v>72</v>
      </c>
      <c r="J12" s="1" t="s">
        <v>19</v>
      </c>
      <c r="K12" s="1" t="s">
        <v>20</v>
      </c>
      <c r="L12" s="1"/>
      <c r="O12" s="4"/>
    </row>
    <row r="13" spans="1:15" ht="15.75" customHeight="1">
      <c r="A13" s="1" t="s">
        <v>73</v>
      </c>
      <c r="B13" s="2" t="s">
        <v>57</v>
      </c>
      <c r="C13" s="2" t="s">
        <v>58</v>
      </c>
      <c r="D13" s="2" t="s">
        <v>59</v>
      </c>
      <c r="E13" s="2" t="s">
        <v>60</v>
      </c>
      <c r="F13" s="2" t="s">
        <v>61</v>
      </c>
      <c r="G13" s="2" t="s">
        <v>62</v>
      </c>
      <c r="H13" s="2" t="s">
        <v>74</v>
      </c>
      <c r="I13" s="1" t="s">
        <v>64</v>
      </c>
      <c r="J13" s="1" t="s">
        <v>35</v>
      </c>
      <c r="K13" s="1" t="s">
        <v>20</v>
      </c>
      <c r="L13" s="1"/>
    </row>
    <row r="14" spans="1:15" ht="15.75" customHeight="1">
      <c r="A14" s="1" t="s">
        <v>75</v>
      </c>
      <c r="B14" s="2" t="s">
        <v>68</v>
      </c>
      <c r="C14" s="2" t="s">
        <v>58</v>
      </c>
      <c r="D14" s="2" t="s">
        <v>59</v>
      </c>
      <c r="E14" s="2" t="s">
        <v>69</v>
      </c>
      <c r="F14" s="2" t="s">
        <v>61</v>
      </c>
      <c r="G14" s="2" t="s">
        <v>70</v>
      </c>
      <c r="H14" s="2" t="s">
        <v>76</v>
      </c>
      <c r="I14" s="1" t="s">
        <v>77</v>
      </c>
      <c r="J14" s="1" t="s">
        <v>78</v>
      </c>
      <c r="K14" s="1" t="s">
        <v>20</v>
      </c>
      <c r="L14" s="1"/>
    </row>
    <row r="15" spans="1:15" ht="15.75" customHeight="1">
      <c r="A15" s="1" t="s">
        <v>79</v>
      </c>
      <c r="B15" s="2" t="s">
        <v>68</v>
      </c>
      <c r="C15" s="2" t="s">
        <v>58</v>
      </c>
      <c r="D15" s="2" t="s">
        <v>59</v>
      </c>
      <c r="E15" s="2" t="s">
        <v>69</v>
      </c>
      <c r="F15" s="2" t="s">
        <v>61</v>
      </c>
      <c r="G15" s="2" t="s">
        <v>70</v>
      </c>
      <c r="H15" s="2" t="s">
        <v>80</v>
      </c>
      <c r="I15" s="1" t="s">
        <v>72</v>
      </c>
      <c r="J15" s="1" t="s">
        <v>19</v>
      </c>
      <c r="K15" s="1" t="s">
        <v>20</v>
      </c>
      <c r="L15" s="1"/>
      <c r="O15" s="4"/>
    </row>
    <row r="16" spans="1:15" ht="15.75" customHeight="1">
      <c r="A16" s="1" t="s">
        <v>81</v>
      </c>
      <c r="B16" s="2" t="s">
        <v>57</v>
      </c>
      <c r="C16" s="2" t="s">
        <v>58</v>
      </c>
      <c r="D16" s="2" t="s">
        <v>59</v>
      </c>
      <c r="E16" s="2" t="s">
        <v>60</v>
      </c>
      <c r="F16" s="2" t="s">
        <v>61</v>
      </c>
      <c r="G16" s="2" t="s">
        <v>62</v>
      </c>
      <c r="H16" s="2" t="s">
        <v>82</v>
      </c>
      <c r="I16" s="1" t="s">
        <v>83</v>
      </c>
      <c r="J16" s="1" t="s">
        <v>35</v>
      </c>
      <c r="K16" s="1" t="s">
        <v>20</v>
      </c>
      <c r="L16" s="1"/>
    </row>
    <row r="17" spans="1:12" ht="15.75" customHeight="1">
      <c r="A17" s="1" t="s">
        <v>84</v>
      </c>
      <c r="B17" s="2" t="s">
        <v>57</v>
      </c>
      <c r="C17" s="2" t="s">
        <v>58</v>
      </c>
      <c r="D17" s="2" t="s">
        <v>59</v>
      </c>
      <c r="E17" s="2" t="s">
        <v>60</v>
      </c>
      <c r="F17" s="2" t="s">
        <v>61</v>
      </c>
      <c r="G17" s="2" t="s">
        <v>62</v>
      </c>
      <c r="H17" s="2" t="s">
        <v>85</v>
      </c>
      <c r="I17" s="1" t="s">
        <v>64</v>
      </c>
      <c r="J17" s="1" t="s">
        <v>35</v>
      </c>
      <c r="K17" s="1" t="s">
        <v>20</v>
      </c>
      <c r="L17" s="1"/>
    </row>
    <row r="18" spans="1:12" ht="15.75" customHeight="1">
      <c r="A18" s="1" t="s">
        <v>86</v>
      </c>
      <c r="B18" s="2" t="s">
        <v>87</v>
      </c>
      <c r="C18" s="2" t="s">
        <v>58</v>
      </c>
      <c r="D18" s="2" t="s">
        <v>59</v>
      </c>
      <c r="E18" s="2" t="s">
        <v>88</v>
      </c>
      <c r="F18" s="2" t="s">
        <v>89</v>
      </c>
      <c r="G18" s="2" t="s">
        <v>90</v>
      </c>
      <c r="H18" s="2" t="s">
        <v>91</v>
      </c>
      <c r="I18" s="1" t="s">
        <v>18</v>
      </c>
      <c r="J18" s="1" t="s">
        <v>19</v>
      </c>
      <c r="K18" s="1" t="s">
        <v>20</v>
      </c>
      <c r="L18" s="1"/>
    </row>
    <row r="19" spans="1:12" ht="15.75" customHeight="1">
      <c r="A19" s="1" t="s">
        <v>92</v>
      </c>
      <c r="B19" s="2" t="s">
        <v>93</v>
      </c>
      <c r="C19" s="2" t="s">
        <v>94</v>
      </c>
      <c r="D19" s="2" t="s">
        <v>95</v>
      </c>
      <c r="E19" s="2" t="s">
        <v>96</v>
      </c>
      <c r="F19" s="2" t="s">
        <v>97</v>
      </c>
      <c r="G19" s="2" t="s">
        <v>98</v>
      </c>
      <c r="H19" s="2" t="s">
        <v>99</v>
      </c>
      <c r="I19" s="1" t="s">
        <v>100</v>
      </c>
      <c r="J19" s="1" t="s">
        <v>78</v>
      </c>
      <c r="K19" s="1" t="s">
        <v>20</v>
      </c>
      <c r="L19" s="1"/>
    </row>
    <row r="20" spans="1:12" ht="15.75" customHeight="1">
      <c r="A20" s="1" t="s">
        <v>101</v>
      </c>
      <c r="B20" s="2" t="s">
        <v>102</v>
      </c>
      <c r="C20" s="2" t="s">
        <v>94</v>
      </c>
      <c r="D20" s="2" t="s">
        <v>95</v>
      </c>
      <c r="E20" s="2" t="s">
        <v>103</v>
      </c>
      <c r="F20" s="2" t="s">
        <v>104</v>
      </c>
      <c r="G20" s="2" t="s">
        <v>105</v>
      </c>
      <c r="H20" s="2" t="s">
        <v>106</v>
      </c>
      <c r="I20" s="1" t="s">
        <v>100</v>
      </c>
      <c r="J20" s="1" t="s">
        <v>78</v>
      </c>
      <c r="K20" s="1" t="s">
        <v>20</v>
      </c>
      <c r="L20" s="1"/>
    </row>
    <row r="21" spans="1:12" ht="15.75" customHeight="1">
      <c r="A21" s="1" t="s">
        <v>107</v>
      </c>
      <c r="B21" s="2" t="s">
        <v>102</v>
      </c>
      <c r="C21" s="2" t="s">
        <v>94</v>
      </c>
      <c r="D21" s="2" t="s">
        <v>95</v>
      </c>
      <c r="E21" s="2" t="s">
        <v>103</v>
      </c>
      <c r="F21" s="2" t="s">
        <v>104</v>
      </c>
      <c r="G21" s="2" t="s">
        <v>105</v>
      </c>
      <c r="H21" s="2" t="s">
        <v>108</v>
      </c>
      <c r="I21" s="1" t="s">
        <v>100</v>
      </c>
      <c r="J21" s="1" t="s">
        <v>78</v>
      </c>
      <c r="K21" s="1" t="s">
        <v>20</v>
      </c>
      <c r="L21" s="1"/>
    </row>
    <row r="22" spans="1:12" ht="15.75" customHeight="1">
      <c r="A22" s="1" t="s">
        <v>109</v>
      </c>
      <c r="B22" s="2" t="s">
        <v>110</v>
      </c>
      <c r="C22" s="2" t="s">
        <v>111</v>
      </c>
      <c r="D22" s="2" t="s">
        <v>112</v>
      </c>
      <c r="E22" s="2" t="s">
        <v>113</v>
      </c>
      <c r="F22" s="2" t="s">
        <v>61</v>
      </c>
      <c r="G22" s="2" t="s">
        <v>114</v>
      </c>
      <c r="H22" s="2" t="s">
        <v>115</v>
      </c>
      <c r="I22" s="1" t="s">
        <v>116</v>
      </c>
      <c r="J22" s="1" t="s">
        <v>19</v>
      </c>
      <c r="K22" s="1" t="s">
        <v>20</v>
      </c>
      <c r="L22" s="1"/>
    </row>
    <row r="23" spans="1:12" ht="15.75" customHeight="1">
      <c r="A23" s="1" t="s">
        <v>117</v>
      </c>
      <c r="B23" s="2" t="s">
        <v>118</v>
      </c>
      <c r="C23" s="2" t="s">
        <v>111</v>
      </c>
      <c r="D23" s="2" t="s">
        <v>112</v>
      </c>
      <c r="E23" s="2" t="s">
        <v>119</v>
      </c>
      <c r="F23" s="2" t="s">
        <v>120</v>
      </c>
      <c r="G23" s="2" t="s">
        <v>121</v>
      </c>
      <c r="H23" s="2" t="s">
        <v>122</v>
      </c>
      <c r="I23" s="1" t="s">
        <v>116</v>
      </c>
      <c r="J23" s="1" t="s">
        <v>19</v>
      </c>
      <c r="K23" s="1" t="s">
        <v>20</v>
      </c>
      <c r="L23" s="1"/>
    </row>
    <row r="24" spans="1:12" ht="15.75" customHeight="1">
      <c r="A24" s="1" t="s">
        <v>123</v>
      </c>
      <c r="B24" s="2" t="s">
        <v>124</v>
      </c>
      <c r="C24" s="2" t="s">
        <v>111</v>
      </c>
      <c r="D24" s="2" t="s">
        <v>112</v>
      </c>
      <c r="E24" s="2" t="s">
        <v>125</v>
      </c>
      <c r="F24" s="2" t="s">
        <v>126</v>
      </c>
      <c r="G24" s="5" t="s">
        <v>127</v>
      </c>
      <c r="H24" s="2" t="s">
        <v>128</v>
      </c>
      <c r="I24" s="1" t="s">
        <v>116</v>
      </c>
      <c r="J24" s="1" t="s">
        <v>19</v>
      </c>
      <c r="K24" s="1" t="s">
        <v>20</v>
      </c>
      <c r="L24" s="1"/>
    </row>
    <row r="25" spans="1:12" ht="15.75" customHeight="1">
      <c r="A25" s="1" t="s">
        <v>129</v>
      </c>
      <c r="B25" s="2" t="s">
        <v>130</v>
      </c>
      <c r="C25" s="2" t="s">
        <v>111</v>
      </c>
      <c r="D25" s="2" t="s">
        <v>112</v>
      </c>
      <c r="E25" s="2" t="s">
        <v>131</v>
      </c>
      <c r="F25" s="2" t="s">
        <v>61</v>
      </c>
      <c r="G25" s="5" t="s">
        <v>132</v>
      </c>
      <c r="H25" s="2" t="s">
        <v>133</v>
      </c>
      <c r="I25" s="1" t="s">
        <v>116</v>
      </c>
      <c r="J25" s="1" t="s">
        <v>19</v>
      </c>
      <c r="K25" s="1" t="s">
        <v>20</v>
      </c>
      <c r="L25" s="1"/>
    </row>
    <row r="26" spans="1:12" ht="15.75" customHeight="1">
      <c r="A26" s="1" t="s">
        <v>134</v>
      </c>
      <c r="B26" s="2" t="s">
        <v>130</v>
      </c>
      <c r="C26" s="2" t="s">
        <v>111</v>
      </c>
      <c r="D26" s="2" t="s">
        <v>112</v>
      </c>
      <c r="E26" s="2" t="s">
        <v>131</v>
      </c>
      <c r="F26" s="2" t="s">
        <v>61</v>
      </c>
      <c r="G26" s="5" t="s">
        <v>132</v>
      </c>
      <c r="H26" s="2" t="s">
        <v>135</v>
      </c>
      <c r="I26" s="1" t="s">
        <v>116</v>
      </c>
      <c r="J26" s="1" t="s">
        <v>19</v>
      </c>
      <c r="K26" s="1" t="s">
        <v>20</v>
      </c>
      <c r="L26" s="1"/>
    </row>
    <row r="27" spans="1:12" ht="15.75" customHeight="1">
      <c r="A27" s="1" t="s">
        <v>136</v>
      </c>
      <c r="B27" s="2" t="s">
        <v>130</v>
      </c>
      <c r="C27" s="2" t="s">
        <v>111</v>
      </c>
      <c r="D27" s="2" t="s">
        <v>112</v>
      </c>
      <c r="E27" s="2" t="s">
        <v>131</v>
      </c>
      <c r="F27" s="2" t="s">
        <v>61</v>
      </c>
      <c r="G27" s="5" t="s">
        <v>132</v>
      </c>
      <c r="H27" s="2" t="s">
        <v>135</v>
      </c>
      <c r="I27" s="1" t="s">
        <v>116</v>
      </c>
      <c r="J27" s="1" t="s">
        <v>19</v>
      </c>
      <c r="K27" s="1" t="s">
        <v>20</v>
      </c>
      <c r="L27" s="1"/>
    </row>
    <row r="28" spans="1:12" ht="15.75" customHeight="1">
      <c r="A28" s="1" t="s">
        <v>137</v>
      </c>
      <c r="B28" s="2" t="s">
        <v>138</v>
      </c>
      <c r="C28" s="2" t="s">
        <v>111</v>
      </c>
      <c r="D28" s="2" t="s">
        <v>112</v>
      </c>
      <c r="E28" s="2" t="s">
        <v>139</v>
      </c>
      <c r="F28" s="2" t="s">
        <v>140</v>
      </c>
      <c r="G28" s="5" t="s">
        <v>141</v>
      </c>
      <c r="H28" s="2" t="s">
        <v>142</v>
      </c>
      <c r="I28" s="1" t="s">
        <v>143</v>
      </c>
      <c r="J28" s="1" t="s">
        <v>35</v>
      </c>
      <c r="K28" s="6" t="s">
        <v>144</v>
      </c>
      <c r="L28" s="1"/>
    </row>
    <row r="29" spans="1:12" ht="15.75" customHeight="1">
      <c r="A29" s="1" t="s">
        <v>145</v>
      </c>
      <c r="B29" s="2" t="s">
        <v>138</v>
      </c>
      <c r="C29" s="2" t="s">
        <v>111</v>
      </c>
      <c r="D29" s="2" t="s">
        <v>112</v>
      </c>
      <c r="E29" s="2" t="s">
        <v>139</v>
      </c>
      <c r="F29" s="2" t="s">
        <v>140</v>
      </c>
      <c r="G29" s="5" t="s">
        <v>141</v>
      </c>
      <c r="H29" s="2" t="s">
        <v>146</v>
      </c>
      <c r="I29" s="1" t="s">
        <v>116</v>
      </c>
      <c r="J29" s="1" t="s">
        <v>19</v>
      </c>
      <c r="K29" s="6" t="s">
        <v>40</v>
      </c>
      <c r="L29" s="1"/>
    </row>
    <row r="30" spans="1:12" ht="15.75" customHeight="1">
      <c r="A30" s="1" t="s">
        <v>147</v>
      </c>
      <c r="B30" s="2" t="s">
        <v>148</v>
      </c>
      <c r="C30" s="2" t="s">
        <v>149</v>
      </c>
      <c r="D30" s="2" t="s">
        <v>150</v>
      </c>
      <c r="E30" s="2" t="s">
        <v>151</v>
      </c>
      <c r="F30" s="2" t="s">
        <v>140</v>
      </c>
      <c r="G30" s="5" t="s">
        <v>152</v>
      </c>
      <c r="H30" s="2" t="s">
        <v>153</v>
      </c>
      <c r="I30" s="1" t="s">
        <v>18</v>
      </c>
      <c r="J30" s="1" t="s">
        <v>19</v>
      </c>
      <c r="K30" s="1" t="s">
        <v>20</v>
      </c>
      <c r="L30" s="1"/>
    </row>
    <row r="31" spans="1:12" ht="15.75" customHeight="1">
      <c r="A31" s="1" t="s">
        <v>154</v>
      </c>
      <c r="B31" s="2" t="s">
        <v>155</v>
      </c>
      <c r="C31" s="2" t="s">
        <v>149</v>
      </c>
      <c r="D31" s="2" t="s">
        <v>150</v>
      </c>
      <c r="E31" s="2" t="s">
        <v>156</v>
      </c>
      <c r="F31" s="2" t="s">
        <v>157</v>
      </c>
      <c r="G31" s="5" t="s">
        <v>158</v>
      </c>
      <c r="H31" s="2" t="s">
        <v>159</v>
      </c>
      <c r="I31" s="1" t="s">
        <v>160</v>
      </c>
      <c r="J31" s="1" t="s">
        <v>78</v>
      </c>
      <c r="K31" s="6" t="s">
        <v>20</v>
      </c>
      <c r="L31" s="1"/>
    </row>
    <row r="32" spans="1:12" ht="15.75" customHeight="1">
      <c r="A32" s="1" t="s">
        <v>161</v>
      </c>
      <c r="B32" s="2" t="s">
        <v>162</v>
      </c>
      <c r="C32" s="2" t="s">
        <v>149</v>
      </c>
      <c r="D32" s="2" t="s">
        <v>150</v>
      </c>
      <c r="E32" s="2" t="s">
        <v>163</v>
      </c>
      <c r="F32" s="2" t="s">
        <v>61</v>
      </c>
      <c r="G32" s="5" t="s">
        <v>164</v>
      </c>
      <c r="H32" s="2" t="s">
        <v>165</v>
      </c>
      <c r="I32" s="1" t="s">
        <v>116</v>
      </c>
      <c r="J32" s="1" t="s">
        <v>19</v>
      </c>
      <c r="K32" s="6" t="s">
        <v>20</v>
      </c>
      <c r="L32" s="1"/>
    </row>
    <row r="33" spans="1:12" ht="15.75" customHeight="1">
      <c r="A33" s="1" t="s">
        <v>166</v>
      </c>
      <c r="B33" s="2" t="s">
        <v>167</v>
      </c>
      <c r="C33" s="2" t="s">
        <v>149</v>
      </c>
      <c r="D33" s="2" t="s">
        <v>150</v>
      </c>
      <c r="E33" s="2" t="s">
        <v>168</v>
      </c>
      <c r="F33" s="2" t="s">
        <v>120</v>
      </c>
      <c r="G33" s="5" t="s">
        <v>169</v>
      </c>
      <c r="H33" s="2" t="s">
        <v>170</v>
      </c>
      <c r="I33" s="1" t="s">
        <v>100</v>
      </c>
      <c r="J33" s="1" t="s">
        <v>78</v>
      </c>
      <c r="K33" s="1" t="s">
        <v>40</v>
      </c>
      <c r="L33" s="1"/>
    </row>
    <row r="34" spans="1:12" ht="15.75" customHeight="1">
      <c r="A34" s="1" t="s">
        <v>171</v>
      </c>
      <c r="B34" s="2" t="s">
        <v>155</v>
      </c>
      <c r="C34" s="2" t="s">
        <v>149</v>
      </c>
      <c r="D34" s="2" t="s">
        <v>150</v>
      </c>
      <c r="E34" s="2" t="s">
        <v>156</v>
      </c>
      <c r="F34" s="2" t="s">
        <v>157</v>
      </c>
      <c r="G34" s="5" t="s">
        <v>158</v>
      </c>
      <c r="H34" s="2" t="s">
        <v>172</v>
      </c>
      <c r="I34" s="1" t="s">
        <v>34</v>
      </c>
      <c r="J34" s="1" t="s">
        <v>35</v>
      </c>
      <c r="K34" s="6" t="s">
        <v>40</v>
      </c>
      <c r="L34" s="1"/>
    </row>
    <row r="35" spans="1:12" ht="15.75" customHeight="1">
      <c r="A35" s="1" t="s">
        <v>173</v>
      </c>
      <c r="B35" s="2" t="s">
        <v>155</v>
      </c>
      <c r="C35" s="2" t="s">
        <v>149</v>
      </c>
      <c r="D35" s="2" t="s">
        <v>150</v>
      </c>
      <c r="E35" s="2" t="s">
        <v>156</v>
      </c>
      <c r="F35" s="2" t="s">
        <v>157</v>
      </c>
      <c r="G35" s="5" t="s">
        <v>158</v>
      </c>
      <c r="H35" s="2" t="s">
        <v>174</v>
      </c>
      <c r="I35" s="1" t="s">
        <v>34</v>
      </c>
      <c r="J35" s="1" t="s">
        <v>35</v>
      </c>
      <c r="K35" s="6" t="s">
        <v>40</v>
      </c>
      <c r="L35" s="1"/>
    </row>
    <row r="36" spans="1:12" ht="15.75" customHeight="1">
      <c r="A36" s="1" t="s">
        <v>175</v>
      </c>
      <c r="B36" s="2" t="s">
        <v>176</v>
      </c>
      <c r="C36" s="2" t="s">
        <v>177</v>
      </c>
      <c r="D36" s="2" t="s">
        <v>178</v>
      </c>
      <c r="E36" s="2" t="s">
        <v>179</v>
      </c>
      <c r="F36" s="2" t="s">
        <v>180</v>
      </c>
      <c r="G36" s="5" t="s">
        <v>181</v>
      </c>
      <c r="H36" s="2" t="s">
        <v>182</v>
      </c>
      <c r="I36" s="1" t="s">
        <v>183</v>
      </c>
      <c r="J36" s="1" t="s">
        <v>50</v>
      </c>
      <c r="K36" s="1" t="s">
        <v>40</v>
      </c>
      <c r="L36" s="1"/>
    </row>
    <row r="37" spans="1:12" ht="15.75" customHeight="1">
      <c r="A37" s="1" t="s">
        <v>184</v>
      </c>
      <c r="B37" s="2" t="s">
        <v>185</v>
      </c>
      <c r="C37" s="2" t="s">
        <v>177</v>
      </c>
      <c r="D37" s="2" t="s">
        <v>178</v>
      </c>
      <c r="E37" s="2" t="s">
        <v>186</v>
      </c>
      <c r="F37" s="2" t="s">
        <v>140</v>
      </c>
      <c r="G37" s="2" t="s">
        <v>187</v>
      </c>
      <c r="H37" s="2" t="s">
        <v>188</v>
      </c>
      <c r="I37" s="1" t="s">
        <v>183</v>
      </c>
      <c r="J37" s="1" t="s">
        <v>50</v>
      </c>
      <c r="K37" s="1" t="s">
        <v>40</v>
      </c>
      <c r="L37" s="1"/>
    </row>
    <row r="38" spans="1:12" ht="15.75" customHeight="1">
      <c r="A38" s="1" t="s">
        <v>189</v>
      </c>
      <c r="B38" s="2" t="s">
        <v>185</v>
      </c>
      <c r="C38" s="2" t="s">
        <v>177</v>
      </c>
      <c r="D38" s="2" t="s">
        <v>178</v>
      </c>
      <c r="E38" s="2" t="s">
        <v>186</v>
      </c>
      <c r="F38" s="2" t="s">
        <v>140</v>
      </c>
      <c r="G38" s="5" t="s">
        <v>187</v>
      </c>
      <c r="H38" s="2" t="s">
        <v>190</v>
      </c>
      <c r="I38" s="1" t="s">
        <v>18</v>
      </c>
      <c r="J38" s="1" t="s">
        <v>19</v>
      </c>
      <c r="K38" s="1" t="s">
        <v>40</v>
      </c>
      <c r="L38" s="1"/>
    </row>
    <row r="39" spans="1:12" ht="15.75" customHeight="1">
      <c r="A39" s="1" t="s">
        <v>191</v>
      </c>
      <c r="B39" s="2" t="s">
        <v>192</v>
      </c>
      <c r="C39" s="2" t="s">
        <v>177</v>
      </c>
      <c r="D39" s="2" t="s">
        <v>178</v>
      </c>
      <c r="E39" s="2" t="s">
        <v>193</v>
      </c>
      <c r="F39" s="2" t="s">
        <v>120</v>
      </c>
      <c r="G39" s="5" t="s">
        <v>194</v>
      </c>
      <c r="H39" s="2" t="s">
        <v>195</v>
      </c>
      <c r="I39" s="1" t="s">
        <v>18</v>
      </c>
      <c r="J39" s="1" t="s">
        <v>19</v>
      </c>
      <c r="K39" s="6" t="s">
        <v>40</v>
      </c>
      <c r="L39" s="1"/>
    </row>
    <row r="40" spans="1:12" ht="15.75" customHeight="1">
      <c r="A40" s="1" t="s">
        <v>196</v>
      </c>
      <c r="B40" s="2" t="s">
        <v>197</v>
      </c>
      <c r="C40" s="2" t="s">
        <v>177</v>
      </c>
      <c r="D40" s="2" t="s">
        <v>178</v>
      </c>
      <c r="E40" s="2" t="s">
        <v>198</v>
      </c>
      <c r="F40" s="2" t="s">
        <v>24</v>
      </c>
      <c r="G40" s="5" t="s">
        <v>199</v>
      </c>
      <c r="H40" s="2" t="s">
        <v>200</v>
      </c>
      <c r="I40" s="1" t="s">
        <v>201</v>
      </c>
      <c r="J40" s="1" t="s">
        <v>35</v>
      </c>
      <c r="K40" s="1" t="s">
        <v>40</v>
      </c>
      <c r="L40" s="1"/>
    </row>
    <row r="41" spans="1:12" ht="15.75" customHeight="1">
      <c r="A41" s="1" t="s">
        <v>202</v>
      </c>
      <c r="B41" s="2" t="s">
        <v>203</v>
      </c>
      <c r="C41" s="2" t="s">
        <v>177</v>
      </c>
      <c r="D41" s="2" t="s">
        <v>178</v>
      </c>
      <c r="E41" s="2" t="s">
        <v>204</v>
      </c>
      <c r="F41" s="2" t="s">
        <v>126</v>
      </c>
      <c r="G41" s="5" t="s">
        <v>205</v>
      </c>
      <c r="H41" s="2" t="s">
        <v>206</v>
      </c>
      <c r="I41" s="1" t="s">
        <v>18</v>
      </c>
      <c r="J41" s="1" t="s">
        <v>19</v>
      </c>
      <c r="K41" s="1" t="s">
        <v>40</v>
      </c>
      <c r="L41" s="1"/>
    </row>
    <row r="42" spans="1:12" ht="15.75" customHeight="1">
      <c r="A42" s="1" t="s">
        <v>207</v>
      </c>
      <c r="B42" s="2" t="s">
        <v>208</v>
      </c>
      <c r="C42" s="2" t="s">
        <v>177</v>
      </c>
      <c r="D42" s="2" t="s">
        <v>178</v>
      </c>
      <c r="E42" s="2" t="s">
        <v>209</v>
      </c>
      <c r="F42" s="2" t="s">
        <v>180</v>
      </c>
      <c r="G42" s="5" t="s">
        <v>210</v>
      </c>
      <c r="H42" s="2" t="s">
        <v>211</v>
      </c>
      <c r="I42" s="1" t="s">
        <v>18</v>
      </c>
      <c r="J42" s="1" t="s">
        <v>19</v>
      </c>
      <c r="K42" s="1" t="s">
        <v>144</v>
      </c>
      <c r="L42" s="1" t="s">
        <v>212</v>
      </c>
    </row>
    <row r="43" spans="1:12" ht="15.75" customHeight="1">
      <c r="A43" s="1" t="s">
        <v>213</v>
      </c>
      <c r="B43" s="2" t="s">
        <v>214</v>
      </c>
      <c r="C43" s="2" t="s">
        <v>177</v>
      </c>
      <c r="D43" s="2" t="s">
        <v>178</v>
      </c>
      <c r="E43" s="2" t="s">
        <v>215</v>
      </c>
      <c r="F43" s="2" t="s">
        <v>46</v>
      </c>
      <c r="G43" s="5" t="s">
        <v>216</v>
      </c>
      <c r="H43" s="2" t="s">
        <v>217</v>
      </c>
      <c r="I43" s="1" t="s">
        <v>218</v>
      </c>
      <c r="J43" s="1" t="s">
        <v>78</v>
      </c>
      <c r="K43" s="1" t="s">
        <v>40</v>
      </c>
      <c r="L43" s="1"/>
    </row>
    <row r="44" spans="1:12" ht="15.75" customHeight="1">
      <c r="A44" s="1" t="s">
        <v>219</v>
      </c>
      <c r="B44" s="2" t="s">
        <v>220</v>
      </c>
      <c r="C44" s="2" t="s">
        <v>177</v>
      </c>
      <c r="D44" s="2" t="s">
        <v>178</v>
      </c>
      <c r="E44" s="2" t="s">
        <v>221</v>
      </c>
      <c r="F44" s="4">
        <v>2020</v>
      </c>
      <c r="G44" s="7" t="s">
        <v>222</v>
      </c>
      <c r="H44" s="4" t="s">
        <v>223</v>
      </c>
      <c r="I44" s="1" t="s">
        <v>183</v>
      </c>
      <c r="J44" s="1" t="s">
        <v>50</v>
      </c>
      <c r="K44" s="6" t="s">
        <v>40</v>
      </c>
      <c r="L44" s="6"/>
    </row>
    <row r="45" spans="1:12" ht="15.75" customHeight="1">
      <c r="A45" s="1" t="s">
        <v>224</v>
      </c>
      <c r="B45" s="2" t="s">
        <v>225</v>
      </c>
      <c r="C45" s="2" t="s">
        <v>177</v>
      </c>
      <c r="D45" s="2" t="s">
        <v>178</v>
      </c>
      <c r="E45" s="2" t="s">
        <v>226</v>
      </c>
      <c r="F45" s="2" t="s">
        <v>46</v>
      </c>
      <c r="G45" s="7" t="s">
        <v>227</v>
      </c>
      <c r="H45" s="4" t="s">
        <v>228</v>
      </c>
      <c r="I45" s="1" t="s">
        <v>183</v>
      </c>
      <c r="J45" s="1" t="s">
        <v>50</v>
      </c>
      <c r="K45" s="6" t="s">
        <v>40</v>
      </c>
      <c r="L45" s="6"/>
    </row>
    <row r="46" spans="1:12" ht="15.75" customHeight="1">
      <c r="A46" s="1" t="s">
        <v>229</v>
      </c>
      <c r="B46" s="2" t="s">
        <v>214</v>
      </c>
      <c r="C46" s="2" t="s">
        <v>177</v>
      </c>
      <c r="D46" s="2" t="s">
        <v>178</v>
      </c>
      <c r="E46" s="2" t="s">
        <v>215</v>
      </c>
      <c r="F46" s="2" t="s">
        <v>46</v>
      </c>
      <c r="G46" s="5" t="s">
        <v>216</v>
      </c>
      <c r="H46" s="2" t="s">
        <v>230</v>
      </c>
      <c r="I46" s="1" t="s">
        <v>218</v>
      </c>
      <c r="J46" s="1" t="s">
        <v>78</v>
      </c>
      <c r="K46" s="1" t="s">
        <v>40</v>
      </c>
      <c r="L46" s="1"/>
    </row>
    <row r="47" spans="1:12" ht="15.75" customHeight="1">
      <c r="A47" s="1" t="s">
        <v>231</v>
      </c>
      <c r="B47" s="2" t="s">
        <v>208</v>
      </c>
      <c r="C47" s="2" t="s">
        <v>177</v>
      </c>
      <c r="D47" s="2" t="s">
        <v>178</v>
      </c>
      <c r="E47" s="2" t="s">
        <v>209</v>
      </c>
      <c r="F47" s="2" t="s">
        <v>180</v>
      </c>
      <c r="G47" s="5" t="s">
        <v>210</v>
      </c>
      <c r="H47" s="2" t="s">
        <v>232</v>
      </c>
      <c r="I47" s="1" t="s">
        <v>18</v>
      </c>
      <c r="J47" s="1" t="s">
        <v>19</v>
      </c>
      <c r="K47" s="1" t="s">
        <v>40</v>
      </c>
      <c r="L47" s="1"/>
    </row>
    <row r="48" spans="1:12" ht="15.75" customHeight="1">
      <c r="A48" s="1" t="s">
        <v>233</v>
      </c>
      <c r="B48" s="2" t="s">
        <v>234</v>
      </c>
      <c r="C48" s="2" t="s">
        <v>177</v>
      </c>
      <c r="D48" s="2" t="s">
        <v>178</v>
      </c>
      <c r="E48" s="2" t="s">
        <v>235</v>
      </c>
      <c r="F48" s="2" t="s">
        <v>61</v>
      </c>
      <c r="G48" s="5" t="s">
        <v>236</v>
      </c>
      <c r="H48" s="2" t="s">
        <v>237</v>
      </c>
      <c r="I48" s="1" t="s">
        <v>18</v>
      </c>
      <c r="J48" s="1" t="s">
        <v>19</v>
      </c>
      <c r="K48" s="1" t="s">
        <v>40</v>
      </c>
      <c r="L48" s="1"/>
    </row>
    <row r="49" spans="1:12" ht="15.75" customHeight="1">
      <c r="A49" s="1" t="s">
        <v>238</v>
      </c>
      <c r="B49" s="2" t="s">
        <v>239</v>
      </c>
      <c r="C49" s="2" t="s">
        <v>177</v>
      </c>
      <c r="D49" s="2" t="s">
        <v>178</v>
      </c>
      <c r="E49" s="2" t="s">
        <v>240</v>
      </c>
      <c r="F49" s="2" t="s">
        <v>126</v>
      </c>
      <c r="G49" s="5" t="s">
        <v>241</v>
      </c>
      <c r="H49" s="2" t="s">
        <v>242</v>
      </c>
      <c r="I49" s="1" t="s">
        <v>201</v>
      </c>
      <c r="J49" s="1" t="s">
        <v>35</v>
      </c>
      <c r="K49" s="1" t="s">
        <v>40</v>
      </c>
      <c r="L49" s="1"/>
    </row>
    <row r="50" spans="1:12" ht="15.75" customHeight="1">
      <c r="A50" s="1" t="s">
        <v>243</v>
      </c>
      <c r="B50" s="2" t="s">
        <v>203</v>
      </c>
      <c r="C50" s="2" t="s">
        <v>177</v>
      </c>
      <c r="D50" s="2" t="s">
        <v>178</v>
      </c>
      <c r="E50" s="2" t="s">
        <v>204</v>
      </c>
      <c r="F50" s="2" t="s">
        <v>126</v>
      </c>
      <c r="G50" s="5" t="s">
        <v>205</v>
      </c>
      <c r="H50" s="2" t="s">
        <v>244</v>
      </c>
      <c r="I50" s="1" t="s">
        <v>18</v>
      </c>
      <c r="J50" s="1" t="s">
        <v>19</v>
      </c>
      <c r="K50" s="1" t="s">
        <v>40</v>
      </c>
      <c r="L50" s="1"/>
    </row>
    <row r="51" spans="1:12" ht="15.75" customHeight="1">
      <c r="A51" s="1" t="s">
        <v>245</v>
      </c>
      <c r="B51" s="2" t="s">
        <v>234</v>
      </c>
      <c r="C51" s="2" t="s">
        <v>177</v>
      </c>
      <c r="D51" s="2" t="s">
        <v>178</v>
      </c>
      <c r="E51" s="2" t="s">
        <v>235</v>
      </c>
      <c r="F51" s="2" t="s">
        <v>61</v>
      </c>
      <c r="G51" s="5" t="s">
        <v>236</v>
      </c>
      <c r="H51" s="2" t="s">
        <v>246</v>
      </c>
      <c r="I51" s="1" t="s">
        <v>201</v>
      </c>
      <c r="J51" s="1" t="s">
        <v>35</v>
      </c>
      <c r="K51" s="1" t="s">
        <v>40</v>
      </c>
      <c r="L51" s="1"/>
    </row>
    <row r="52" spans="1:12" ht="15.75" customHeight="1">
      <c r="A52" s="1" t="s">
        <v>247</v>
      </c>
      <c r="B52" s="2" t="s">
        <v>248</v>
      </c>
      <c r="C52" s="2" t="s">
        <v>249</v>
      </c>
      <c r="D52" s="2" t="s">
        <v>250</v>
      </c>
      <c r="E52" s="2" t="s">
        <v>251</v>
      </c>
      <c r="F52" s="2" t="s">
        <v>252</v>
      </c>
      <c r="G52" s="5" t="s">
        <v>253</v>
      </c>
      <c r="H52" s="2" t="s">
        <v>254</v>
      </c>
      <c r="I52" s="1" t="s">
        <v>143</v>
      </c>
      <c r="J52" s="1" t="s">
        <v>35</v>
      </c>
      <c r="K52" s="1" t="s">
        <v>40</v>
      </c>
      <c r="L52" s="1"/>
    </row>
    <row r="53" spans="1:12" ht="15.75" customHeight="1">
      <c r="A53" s="1" t="s">
        <v>255</v>
      </c>
      <c r="B53" s="2" t="s">
        <v>256</v>
      </c>
      <c r="C53" s="2" t="s">
        <v>249</v>
      </c>
      <c r="D53" s="2" t="s">
        <v>250</v>
      </c>
      <c r="E53" s="2" t="s">
        <v>257</v>
      </c>
      <c r="F53" s="2" t="s">
        <v>126</v>
      </c>
      <c r="G53" s="5" t="s">
        <v>258</v>
      </c>
      <c r="H53" s="2" t="s">
        <v>259</v>
      </c>
      <c r="I53" s="1" t="s">
        <v>260</v>
      </c>
      <c r="J53" s="1" t="s">
        <v>50</v>
      </c>
      <c r="K53" s="1" t="s">
        <v>40</v>
      </c>
      <c r="L53" s="1"/>
    </row>
    <row r="54" spans="1:12" ht="15.75" customHeight="1">
      <c r="A54" s="1" t="s">
        <v>261</v>
      </c>
      <c r="B54" s="2" t="s">
        <v>262</v>
      </c>
      <c r="C54" s="2" t="s">
        <v>249</v>
      </c>
      <c r="D54" s="2" t="s">
        <v>250</v>
      </c>
      <c r="E54" s="2" t="s">
        <v>263</v>
      </c>
      <c r="F54" s="2" t="s">
        <v>264</v>
      </c>
      <c r="G54" s="5" t="s">
        <v>265</v>
      </c>
      <c r="H54" s="2" t="s">
        <v>266</v>
      </c>
      <c r="I54" s="1" t="s">
        <v>143</v>
      </c>
      <c r="J54" s="1" t="s">
        <v>35</v>
      </c>
      <c r="K54" s="1" t="s">
        <v>40</v>
      </c>
      <c r="L54" s="1"/>
    </row>
    <row r="55" spans="1:12" ht="15.75" customHeight="1">
      <c r="A55" s="1" t="s">
        <v>267</v>
      </c>
      <c r="B55" s="2" t="s">
        <v>262</v>
      </c>
      <c r="C55" s="2" t="s">
        <v>249</v>
      </c>
      <c r="D55" s="2" t="s">
        <v>250</v>
      </c>
      <c r="E55" s="2" t="s">
        <v>263</v>
      </c>
      <c r="F55" s="2" t="s">
        <v>264</v>
      </c>
      <c r="G55" s="5" t="s">
        <v>265</v>
      </c>
      <c r="H55" s="2" t="s">
        <v>268</v>
      </c>
      <c r="I55" s="1" t="s">
        <v>143</v>
      </c>
      <c r="J55" s="1" t="s">
        <v>35</v>
      </c>
      <c r="K55" s="1" t="s">
        <v>40</v>
      </c>
      <c r="L55" s="1"/>
    </row>
    <row r="56" spans="1:12" ht="15.75" customHeight="1">
      <c r="A56" s="1" t="s">
        <v>269</v>
      </c>
      <c r="B56" s="2" t="s">
        <v>270</v>
      </c>
      <c r="C56" s="2" t="s">
        <v>249</v>
      </c>
      <c r="D56" s="2" t="s">
        <v>250</v>
      </c>
      <c r="E56" s="2" t="s">
        <v>271</v>
      </c>
      <c r="F56" s="2" t="s">
        <v>120</v>
      </c>
      <c r="G56" s="5" t="s">
        <v>272</v>
      </c>
      <c r="H56" s="2" t="s">
        <v>273</v>
      </c>
      <c r="I56" s="1" t="s">
        <v>260</v>
      </c>
      <c r="J56" s="1" t="s">
        <v>50</v>
      </c>
      <c r="K56" s="1" t="s">
        <v>144</v>
      </c>
      <c r="L56" s="1" t="s">
        <v>504</v>
      </c>
    </row>
    <row r="57" spans="1:12" ht="15.75" customHeight="1">
      <c r="A57" s="1" t="s">
        <v>274</v>
      </c>
      <c r="B57" s="2" t="s">
        <v>270</v>
      </c>
      <c r="C57" s="2" t="s">
        <v>249</v>
      </c>
      <c r="D57" s="2" t="s">
        <v>250</v>
      </c>
      <c r="E57" s="2" t="s">
        <v>271</v>
      </c>
      <c r="F57" s="2" t="s">
        <v>120</v>
      </c>
      <c r="G57" s="5" t="s">
        <v>272</v>
      </c>
      <c r="H57" s="2" t="s">
        <v>275</v>
      </c>
      <c r="I57" s="1" t="s">
        <v>260</v>
      </c>
      <c r="J57" s="1" t="s">
        <v>50</v>
      </c>
      <c r="K57" s="1" t="s">
        <v>144</v>
      </c>
      <c r="L57" s="1" t="s">
        <v>504</v>
      </c>
    </row>
    <row r="58" spans="1:12" ht="15.75" customHeight="1">
      <c r="A58" s="1" t="s">
        <v>276</v>
      </c>
      <c r="B58" s="2" t="s">
        <v>277</v>
      </c>
      <c r="C58" s="2" t="s">
        <v>249</v>
      </c>
      <c r="D58" s="2" t="s">
        <v>250</v>
      </c>
      <c r="E58" s="2" t="s">
        <v>278</v>
      </c>
      <c r="F58" s="2" t="s">
        <v>157</v>
      </c>
      <c r="G58" s="5" t="s">
        <v>279</v>
      </c>
      <c r="H58" s="2" t="s">
        <v>280</v>
      </c>
      <c r="I58" s="1" t="s">
        <v>143</v>
      </c>
      <c r="J58" s="1" t="s">
        <v>35</v>
      </c>
      <c r="K58" s="1" t="s">
        <v>40</v>
      </c>
      <c r="L58" s="1"/>
    </row>
    <row r="59" spans="1:12" ht="15.75" customHeight="1">
      <c r="A59" s="1" t="s">
        <v>281</v>
      </c>
      <c r="B59" s="2" t="s">
        <v>282</v>
      </c>
      <c r="C59" s="2" t="s">
        <v>249</v>
      </c>
      <c r="D59" s="2" t="s">
        <v>250</v>
      </c>
      <c r="E59" s="2" t="s">
        <v>283</v>
      </c>
      <c r="F59" s="2" t="s">
        <v>284</v>
      </c>
      <c r="G59" s="5" t="s">
        <v>285</v>
      </c>
      <c r="H59" s="2" t="s">
        <v>286</v>
      </c>
      <c r="I59" s="1" t="s">
        <v>116</v>
      </c>
      <c r="J59" s="1" t="s">
        <v>19</v>
      </c>
      <c r="K59" s="1" t="s">
        <v>40</v>
      </c>
      <c r="L59" s="1"/>
    </row>
    <row r="60" spans="1:12" ht="15.75" customHeight="1">
      <c r="A60" s="1" t="s">
        <v>287</v>
      </c>
      <c r="B60" s="2" t="s">
        <v>262</v>
      </c>
      <c r="C60" s="2" t="s">
        <v>249</v>
      </c>
      <c r="D60" s="2" t="s">
        <v>250</v>
      </c>
      <c r="E60" s="2" t="s">
        <v>263</v>
      </c>
      <c r="F60" s="2" t="s">
        <v>264</v>
      </c>
      <c r="G60" s="5" t="s">
        <v>265</v>
      </c>
      <c r="H60" s="2" t="s">
        <v>288</v>
      </c>
      <c r="I60" s="1" t="s">
        <v>116</v>
      </c>
      <c r="J60" s="1" t="s">
        <v>19</v>
      </c>
      <c r="K60" s="1" t="s">
        <v>40</v>
      </c>
      <c r="L60" s="1"/>
    </row>
    <row r="61" spans="1:12" ht="15.75" customHeight="1">
      <c r="A61" s="1" t="s">
        <v>289</v>
      </c>
      <c r="B61" s="2" t="s">
        <v>277</v>
      </c>
      <c r="C61" s="2" t="s">
        <v>249</v>
      </c>
      <c r="D61" s="2" t="s">
        <v>250</v>
      </c>
      <c r="E61" s="2" t="s">
        <v>278</v>
      </c>
      <c r="F61" s="2" t="s">
        <v>157</v>
      </c>
      <c r="G61" s="5" t="s">
        <v>279</v>
      </c>
      <c r="H61" s="2" t="s">
        <v>290</v>
      </c>
      <c r="I61" s="1" t="s">
        <v>116</v>
      </c>
      <c r="J61" s="1" t="s">
        <v>19</v>
      </c>
      <c r="K61" s="1" t="s">
        <v>40</v>
      </c>
      <c r="L61" s="1"/>
    </row>
    <row r="62" spans="1:12" ht="15.75" customHeight="1">
      <c r="A62" s="1" t="s">
        <v>291</v>
      </c>
      <c r="B62" s="2" t="s">
        <v>292</v>
      </c>
      <c r="C62" s="2" t="s">
        <v>249</v>
      </c>
      <c r="D62" s="2" t="s">
        <v>250</v>
      </c>
      <c r="E62" s="2" t="s">
        <v>293</v>
      </c>
      <c r="F62" s="2" t="s">
        <v>294</v>
      </c>
      <c r="G62" s="5" t="s">
        <v>295</v>
      </c>
      <c r="H62" s="2" t="s">
        <v>296</v>
      </c>
      <c r="I62" s="1" t="s">
        <v>260</v>
      </c>
      <c r="J62" s="1" t="s">
        <v>50</v>
      </c>
      <c r="K62" s="1" t="s">
        <v>40</v>
      </c>
      <c r="L62" s="1"/>
    </row>
    <row r="63" spans="1:12" ht="15.75" customHeight="1">
      <c r="A63" s="1" t="s">
        <v>297</v>
      </c>
      <c r="B63" s="2" t="s">
        <v>298</v>
      </c>
      <c r="C63" s="2" t="s">
        <v>299</v>
      </c>
      <c r="D63" s="2" t="s">
        <v>300</v>
      </c>
      <c r="E63" s="2" t="s">
        <v>301</v>
      </c>
      <c r="F63" s="2" t="s">
        <v>15</v>
      </c>
      <c r="G63" s="5" t="s">
        <v>302</v>
      </c>
      <c r="H63" s="2" t="s">
        <v>303</v>
      </c>
      <c r="I63" s="1" t="s">
        <v>143</v>
      </c>
      <c r="J63" s="1" t="s">
        <v>28</v>
      </c>
      <c r="K63" s="1" t="s">
        <v>40</v>
      </c>
      <c r="L63" s="1"/>
    </row>
    <row r="64" spans="1:12" ht="15.75" customHeight="1">
      <c r="A64" s="1" t="s">
        <v>304</v>
      </c>
      <c r="B64" s="2" t="s">
        <v>305</v>
      </c>
      <c r="C64" s="2" t="s">
        <v>299</v>
      </c>
      <c r="D64" s="2" t="s">
        <v>300</v>
      </c>
      <c r="E64" s="2" t="s">
        <v>306</v>
      </c>
      <c r="F64" s="2" t="s">
        <v>294</v>
      </c>
      <c r="G64" s="5" t="s">
        <v>307</v>
      </c>
      <c r="H64" s="2" t="s">
        <v>308</v>
      </c>
      <c r="I64" s="1" t="s">
        <v>100</v>
      </c>
      <c r="J64" s="1" t="s">
        <v>78</v>
      </c>
      <c r="K64" s="1" t="s">
        <v>40</v>
      </c>
      <c r="L64" s="1"/>
    </row>
    <row r="65" spans="1:12" ht="15.75" customHeight="1">
      <c r="A65" s="1" t="s">
        <v>309</v>
      </c>
      <c r="B65" s="2" t="s">
        <v>310</v>
      </c>
      <c r="C65" s="2" t="s">
        <v>299</v>
      </c>
      <c r="D65" s="2" t="s">
        <v>300</v>
      </c>
      <c r="E65" s="2" t="s">
        <v>311</v>
      </c>
      <c r="F65" s="2" t="s">
        <v>24</v>
      </c>
      <c r="G65" s="5" t="s">
        <v>312</v>
      </c>
      <c r="H65" s="2" t="s">
        <v>313</v>
      </c>
      <c r="I65" s="1" t="s">
        <v>29</v>
      </c>
      <c r="J65" s="1" t="s">
        <v>35</v>
      </c>
      <c r="K65" s="1" t="s">
        <v>40</v>
      </c>
      <c r="L65" s="1"/>
    </row>
    <row r="66" spans="1:12" ht="15.75" customHeight="1">
      <c r="A66" s="1" t="s">
        <v>314</v>
      </c>
      <c r="B66" s="2" t="s">
        <v>310</v>
      </c>
      <c r="C66" s="2" t="s">
        <v>299</v>
      </c>
      <c r="D66" s="2" t="s">
        <v>300</v>
      </c>
      <c r="E66" s="2" t="s">
        <v>311</v>
      </c>
      <c r="F66" s="2" t="s">
        <v>24</v>
      </c>
      <c r="G66" s="5" t="s">
        <v>312</v>
      </c>
      <c r="H66" s="2" t="s">
        <v>315</v>
      </c>
      <c r="I66" s="1" t="s">
        <v>21</v>
      </c>
      <c r="J66" s="1" t="s">
        <v>19</v>
      </c>
      <c r="K66" s="1" t="s">
        <v>40</v>
      </c>
      <c r="L66" s="1"/>
    </row>
    <row r="67" spans="1:12" ht="15.75" customHeight="1">
      <c r="A67" s="1" t="s">
        <v>316</v>
      </c>
      <c r="B67" s="2" t="s">
        <v>310</v>
      </c>
      <c r="C67" s="2" t="s">
        <v>299</v>
      </c>
      <c r="D67" s="2" t="s">
        <v>300</v>
      </c>
      <c r="E67" s="2" t="s">
        <v>311</v>
      </c>
      <c r="F67" s="2" t="s">
        <v>24</v>
      </c>
      <c r="G67" s="5" t="s">
        <v>312</v>
      </c>
      <c r="H67" s="2" t="s">
        <v>317</v>
      </c>
      <c r="I67" s="1" t="s">
        <v>29</v>
      </c>
      <c r="J67" s="1" t="s">
        <v>35</v>
      </c>
      <c r="K67" s="1" t="s">
        <v>40</v>
      </c>
      <c r="L67" s="1"/>
    </row>
    <row r="68" spans="1:12" ht="15.75" customHeight="1">
      <c r="A68" s="1" t="s">
        <v>318</v>
      </c>
      <c r="B68" s="2" t="s">
        <v>319</v>
      </c>
      <c r="C68" s="2" t="s">
        <v>299</v>
      </c>
      <c r="D68" s="2" t="s">
        <v>300</v>
      </c>
      <c r="E68" s="2" t="s">
        <v>320</v>
      </c>
      <c r="F68" s="2" t="s">
        <v>46</v>
      </c>
      <c r="G68" s="5" t="s">
        <v>321</v>
      </c>
      <c r="H68" s="2" t="s">
        <v>322</v>
      </c>
      <c r="I68" s="1" t="s">
        <v>21</v>
      </c>
      <c r="J68" s="1" t="s">
        <v>19</v>
      </c>
      <c r="K68" s="1" t="s">
        <v>40</v>
      </c>
      <c r="L68" s="1"/>
    </row>
    <row r="69" spans="1:12" ht="15.75" customHeight="1">
      <c r="A69" s="1" t="s">
        <v>323</v>
      </c>
      <c r="B69" s="2" t="s">
        <v>305</v>
      </c>
      <c r="C69" s="2" t="s">
        <v>299</v>
      </c>
      <c r="D69" s="2" t="s">
        <v>300</v>
      </c>
      <c r="E69" s="2" t="s">
        <v>306</v>
      </c>
      <c r="F69" s="2" t="s">
        <v>294</v>
      </c>
      <c r="G69" s="5" t="s">
        <v>307</v>
      </c>
      <c r="H69" s="2" t="s">
        <v>324</v>
      </c>
      <c r="I69" s="1" t="s">
        <v>100</v>
      </c>
      <c r="J69" s="1" t="s">
        <v>78</v>
      </c>
      <c r="K69" s="1" t="s">
        <v>40</v>
      </c>
      <c r="L69" s="1"/>
    </row>
    <row r="70" spans="1:12" ht="15.75" customHeight="1">
      <c r="A70" s="1" t="s">
        <v>325</v>
      </c>
      <c r="B70" s="2" t="s">
        <v>310</v>
      </c>
      <c r="C70" s="2" t="s">
        <v>299</v>
      </c>
      <c r="D70" s="2" t="s">
        <v>300</v>
      </c>
      <c r="E70" s="2" t="s">
        <v>311</v>
      </c>
      <c r="F70" s="2" t="s">
        <v>24</v>
      </c>
      <c r="G70" s="5" t="s">
        <v>312</v>
      </c>
      <c r="H70" s="2" t="s">
        <v>326</v>
      </c>
      <c r="I70" s="1" t="s">
        <v>21</v>
      </c>
      <c r="J70" s="1" t="s">
        <v>19</v>
      </c>
      <c r="K70" s="1" t="s">
        <v>40</v>
      </c>
      <c r="L70" s="1"/>
    </row>
    <row r="71" spans="1:12" ht="15.75" customHeight="1">
      <c r="A71" s="1" t="s">
        <v>327</v>
      </c>
      <c r="B71" s="2" t="s">
        <v>328</v>
      </c>
      <c r="C71" s="2" t="s">
        <v>299</v>
      </c>
      <c r="D71" s="2" t="s">
        <v>300</v>
      </c>
      <c r="E71" s="2" t="s">
        <v>329</v>
      </c>
      <c r="F71" s="2" t="s">
        <v>330</v>
      </c>
      <c r="G71" s="5" t="s">
        <v>331</v>
      </c>
      <c r="H71" s="2" t="s">
        <v>332</v>
      </c>
      <c r="I71" s="1" t="s">
        <v>34</v>
      </c>
      <c r="J71" s="1" t="s">
        <v>35</v>
      </c>
      <c r="K71" s="1" t="s">
        <v>40</v>
      </c>
      <c r="L71" s="1"/>
    </row>
    <row r="72" spans="1:12" ht="15.75" customHeight="1">
      <c r="A72" s="1" t="s">
        <v>333</v>
      </c>
      <c r="B72" s="2" t="s">
        <v>305</v>
      </c>
      <c r="C72" s="2" t="s">
        <v>299</v>
      </c>
      <c r="D72" s="2" t="s">
        <v>300</v>
      </c>
      <c r="E72" s="2" t="s">
        <v>306</v>
      </c>
      <c r="F72" s="2" t="s">
        <v>294</v>
      </c>
      <c r="G72" s="5" t="s">
        <v>307</v>
      </c>
      <c r="H72" s="2" t="s">
        <v>334</v>
      </c>
      <c r="I72" s="1" t="s">
        <v>100</v>
      </c>
      <c r="J72" s="1" t="s">
        <v>78</v>
      </c>
      <c r="K72" s="1" t="s">
        <v>40</v>
      </c>
      <c r="L72" s="1"/>
    </row>
    <row r="73" spans="1:12" ht="15.75" customHeight="1">
      <c r="A73" s="1" t="s">
        <v>335</v>
      </c>
      <c r="B73" s="2" t="s">
        <v>310</v>
      </c>
      <c r="C73" s="2" t="s">
        <v>299</v>
      </c>
      <c r="D73" s="2" t="s">
        <v>300</v>
      </c>
      <c r="E73" s="2" t="s">
        <v>311</v>
      </c>
      <c r="F73" s="2" t="s">
        <v>24</v>
      </c>
      <c r="G73" s="5" t="s">
        <v>312</v>
      </c>
      <c r="H73" s="2" t="s">
        <v>336</v>
      </c>
      <c r="I73" s="1" t="s">
        <v>21</v>
      </c>
      <c r="J73" s="1" t="s">
        <v>19</v>
      </c>
      <c r="K73" s="1" t="s">
        <v>40</v>
      </c>
      <c r="L73" s="1"/>
    </row>
    <row r="74" spans="1:12" ht="15.75" customHeight="1">
      <c r="A74" s="1" t="s">
        <v>337</v>
      </c>
      <c r="B74" s="2" t="s">
        <v>305</v>
      </c>
      <c r="C74" s="2" t="s">
        <v>299</v>
      </c>
      <c r="D74" s="2" t="s">
        <v>300</v>
      </c>
      <c r="E74" s="2" t="s">
        <v>306</v>
      </c>
      <c r="F74" s="2" t="s">
        <v>294</v>
      </c>
      <c r="G74" s="5" t="s">
        <v>307</v>
      </c>
      <c r="H74" s="2" t="s">
        <v>338</v>
      </c>
      <c r="I74" s="1" t="s">
        <v>100</v>
      </c>
      <c r="J74" s="1" t="s">
        <v>78</v>
      </c>
      <c r="K74" s="1" t="s">
        <v>40</v>
      </c>
      <c r="L74" s="1"/>
    </row>
    <row r="75" spans="1:12" ht="15.75" customHeight="1">
      <c r="A75" s="1" t="s">
        <v>339</v>
      </c>
      <c r="B75" s="2" t="s">
        <v>340</v>
      </c>
      <c r="C75" s="2" t="s">
        <v>341</v>
      </c>
      <c r="D75" s="2" t="s">
        <v>342</v>
      </c>
      <c r="E75" s="2" t="s">
        <v>343</v>
      </c>
      <c r="F75" s="2" t="s">
        <v>126</v>
      </c>
      <c r="G75" s="5" t="s">
        <v>344</v>
      </c>
      <c r="H75" s="2" t="s">
        <v>345</v>
      </c>
      <c r="I75" s="1" t="s">
        <v>34</v>
      </c>
      <c r="J75" s="1" t="s">
        <v>35</v>
      </c>
      <c r="K75" s="1" t="s">
        <v>40</v>
      </c>
      <c r="L75" s="1"/>
    </row>
    <row r="76" spans="1:12" ht="15.75" customHeight="1">
      <c r="A76" s="1" t="s">
        <v>346</v>
      </c>
      <c r="B76" s="2" t="s">
        <v>347</v>
      </c>
      <c r="C76" s="2" t="s">
        <v>341</v>
      </c>
      <c r="D76" s="2" t="s">
        <v>342</v>
      </c>
      <c r="E76" s="2" t="s">
        <v>348</v>
      </c>
      <c r="F76" s="2" t="s">
        <v>126</v>
      </c>
      <c r="G76" s="5" t="s">
        <v>349</v>
      </c>
      <c r="H76" s="2" t="s">
        <v>350</v>
      </c>
      <c r="I76" s="1" t="s">
        <v>351</v>
      </c>
      <c r="J76" s="1" t="s">
        <v>28</v>
      </c>
      <c r="K76" s="1" t="s">
        <v>40</v>
      </c>
      <c r="L76" s="1"/>
    </row>
    <row r="77" spans="1:12" ht="15.75" customHeight="1">
      <c r="A77" s="1" t="s">
        <v>352</v>
      </c>
      <c r="B77" s="2" t="s">
        <v>353</v>
      </c>
      <c r="C77" s="2" t="s">
        <v>341</v>
      </c>
      <c r="D77" s="2" t="s">
        <v>342</v>
      </c>
      <c r="E77" s="2" t="s">
        <v>354</v>
      </c>
      <c r="F77" s="2" t="s">
        <v>46</v>
      </c>
      <c r="G77" s="5" t="s">
        <v>355</v>
      </c>
      <c r="H77" s="2" t="s">
        <v>356</v>
      </c>
      <c r="I77" s="1" t="s">
        <v>18</v>
      </c>
      <c r="J77" s="1" t="s">
        <v>19</v>
      </c>
      <c r="K77" s="1" t="s">
        <v>40</v>
      </c>
      <c r="L77" s="1"/>
    </row>
    <row r="78" spans="1:12" ht="15.75" customHeight="1">
      <c r="A78" s="1" t="s">
        <v>357</v>
      </c>
      <c r="B78" s="2" t="s">
        <v>358</v>
      </c>
      <c r="C78" s="2" t="s">
        <v>341</v>
      </c>
      <c r="D78" s="2" t="s">
        <v>342</v>
      </c>
      <c r="E78" s="2" t="s">
        <v>359</v>
      </c>
      <c r="F78" s="2" t="s">
        <v>15</v>
      </c>
      <c r="G78" s="5" t="s">
        <v>360</v>
      </c>
      <c r="H78" s="2" t="s">
        <v>361</v>
      </c>
      <c r="I78" s="1" t="s">
        <v>351</v>
      </c>
      <c r="J78" s="1" t="s">
        <v>28</v>
      </c>
      <c r="K78" s="1" t="s">
        <v>40</v>
      </c>
      <c r="L78" s="1"/>
    </row>
    <row r="79" spans="1:12" ht="15.75" customHeight="1">
      <c r="A79" s="1" t="s">
        <v>362</v>
      </c>
      <c r="B79" s="2" t="s">
        <v>353</v>
      </c>
      <c r="C79" s="2" t="s">
        <v>341</v>
      </c>
      <c r="D79" s="2" t="s">
        <v>342</v>
      </c>
      <c r="E79" s="2" t="s">
        <v>354</v>
      </c>
      <c r="F79" s="2" t="s">
        <v>46</v>
      </c>
      <c r="G79" s="5" t="s">
        <v>355</v>
      </c>
      <c r="H79" s="2" t="s">
        <v>363</v>
      </c>
      <c r="I79" s="1" t="s">
        <v>34</v>
      </c>
      <c r="J79" s="1" t="s">
        <v>35</v>
      </c>
      <c r="K79" s="1" t="s">
        <v>40</v>
      </c>
      <c r="L79" s="1"/>
    </row>
    <row r="80" spans="1:12" ht="15.75" customHeight="1">
      <c r="A80" s="1" t="s">
        <v>364</v>
      </c>
      <c r="B80" s="2" t="s">
        <v>340</v>
      </c>
      <c r="C80" s="2" t="s">
        <v>341</v>
      </c>
      <c r="D80" s="2" t="s">
        <v>342</v>
      </c>
      <c r="E80" s="2" t="s">
        <v>343</v>
      </c>
      <c r="F80" s="2" t="s">
        <v>126</v>
      </c>
      <c r="G80" s="5" t="s">
        <v>344</v>
      </c>
      <c r="H80" s="2" t="s">
        <v>365</v>
      </c>
      <c r="I80" s="1" t="s">
        <v>34</v>
      </c>
      <c r="J80" s="1" t="s">
        <v>35</v>
      </c>
      <c r="K80" s="1" t="s">
        <v>40</v>
      </c>
      <c r="L80" s="1"/>
    </row>
    <row r="81" spans="1:12" ht="15.75" customHeight="1">
      <c r="A81" s="1" t="s">
        <v>366</v>
      </c>
      <c r="B81" s="2" t="s">
        <v>367</v>
      </c>
      <c r="C81" s="2" t="s">
        <v>341</v>
      </c>
      <c r="D81" s="2" t="s">
        <v>342</v>
      </c>
      <c r="E81" s="2" t="s">
        <v>368</v>
      </c>
      <c r="F81" s="2" t="s">
        <v>46</v>
      </c>
      <c r="G81" s="5" t="s">
        <v>369</v>
      </c>
      <c r="H81" s="2" t="s">
        <v>370</v>
      </c>
      <c r="I81" s="1" t="s">
        <v>18</v>
      </c>
      <c r="J81" s="1" t="s">
        <v>19</v>
      </c>
      <c r="K81" s="1" t="s">
        <v>40</v>
      </c>
      <c r="L81" s="1"/>
    </row>
    <row r="82" spans="1:12" ht="15.75" customHeight="1">
      <c r="A82" s="1" t="s">
        <v>371</v>
      </c>
      <c r="B82" s="2" t="s">
        <v>372</v>
      </c>
      <c r="C82" s="2" t="s">
        <v>341</v>
      </c>
      <c r="D82" s="2" t="s">
        <v>342</v>
      </c>
      <c r="E82" s="2" t="s">
        <v>373</v>
      </c>
      <c r="F82" s="2" t="s">
        <v>120</v>
      </c>
      <c r="G82" s="5" t="s">
        <v>374</v>
      </c>
      <c r="H82" s="2" t="s">
        <v>375</v>
      </c>
      <c r="I82" s="1" t="s">
        <v>351</v>
      </c>
      <c r="J82" s="1" t="s">
        <v>28</v>
      </c>
      <c r="K82" s="1" t="s">
        <v>40</v>
      </c>
      <c r="L82" s="1"/>
    </row>
    <row r="83" spans="1:12" ht="15.75" customHeight="1">
      <c r="A83" s="1" t="s">
        <v>376</v>
      </c>
      <c r="B83" s="2" t="s">
        <v>367</v>
      </c>
      <c r="C83" s="2" t="s">
        <v>341</v>
      </c>
      <c r="D83" s="2" t="s">
        <v>342</v>
      </c>
      <c r="E83" s="2" t="s">
        <v>368</v>
      </c>
      <c r="F83" s="2" t="s">
        <v>46</v>
      </c>
      <c r="G83" s="5" t="s">
        <v>369</v>
      </c>
      <c r="H83" s="2" t="s">
        <v>377</v>
      </c>
      <c r="I83" s="1" t="s">
        <v>351</v>
      </c>
      <c r="J83" s="1" t="s">
        <v>28</v>
      </c>
      <c r="K83" s="1" t="s">
        <v>40</v>
      </c>
      <c r="L83" s="1"/>
    </row>
    <row r="84" spans="1:12" ht="15.75" customHeight="1">
      <c r="A84" s="1" t="s">
        <v>378</v>
      </c>
      <c r="B84" s="2" t="s">
        <v>379</v>
      </c>
      <c r="C84" s="2" t="s">
        <v>341</v>
      </c>
      <c r="D84" s="2" t="s">
        <v>342</v>
      </c>
      <c r="E84" s="2" t="s">
        <v>380</v>
      </c>
      <c r="F84" s="2" t="s">
        <v>15</v>
      </c>
      <c r="G84" s="5" t="s">
        <v>381</v>
      </c>
      <c r="H84" s="2" t="s">
        <v>382</v>
      </c>
      <c r="I84" s="1" t="s">
        <v>351</v>
      </c>
      <c r="J84" s="1" t="s">
        <v>28</v>
      </c>
      <c r="K84" s="1" t="s">
        <v>40</v>
      </c>
      <c r="L84" s="1"/>
    </row>
    <row r="85" spans="1:12" ht="15.75" customHeight="1">
      <c r="A85" s="1" t="s">
        <v>383</v>
      </c>
      <c r="B85" s="2" t="s">
        <v>384</v>
      </c>
      <c r="C85" s="2" t="s">
        <v>341</v>
      </c>
      <c r="D85" s="2" t="s">
        <v>342</v>
      </c>
      <c r="E85" s="2" t="s">
        <v>385</v>
      </c>
      <c r="F85" s="2" t="s">
        <v>180</v>
      </c>
      <c r="G85" s="5" t="s">
        <v>386</v>
      </c>
      <c r="H85" s="2" t="s">
        <v>387</v>
      </c>
      <c r="I85" s="1" t="s">
        <v>351</v>
      </c>
      <c r="J85" s="1" t="s">
        <v>28</v>
      </c>
      <c r="K85" s="1" t="s">
        <v>40</v>
      </c>
      <c r="L85" s="1"/>
    </row>
    <row r="86" spans="1:12" ht="15.75" customHeight="1">
      <c r="A86" s="1" t="s">
        <v>388</v>
      </c>
      <c r="B86" s="2" t="s">
        <v>389</v>
      </c>
      <c r="C86" s="2" t="s">
        <v>341</v>
      </c>
      <c r="D86" s="2" t="s">
        <v>342</v>
      </c>
      <c r="E86" s="2" t="s">
        <v>390</v>
      </c>
      <c r="F86" s="2" t="s">
        <v>330</v>
      </c>
      <c r="G86" s="5" t="s">
        <v>391</v>
      </c>
      <c r="H86" s="2" t="s">
        <v>392</v>
      </c>
      <c r="I86" s="1" t="s">
        <v>27</v>
      </c>
      <c r="J86" s="1" t="s">
        <v>28</v>
      </c>
      <c r="K86" s="1" t="s">
        <v>40</v>
      </c>
      <c r="L86" s="1"/>
    </row>
    <row r="87" spans="1:12" ht="15.75" customHeight="1">
      <c r="A87" s="1" t="s">
        <v>393</v>
      </c>
      <c r="B87" s="2" t="s">
        <v>394</v>
      </c>
      <c r="C87" s="2" t="s">
        <v>341</v>
      </c>
      <c r="D87" s="2" t="s">
        <v>342</v>
      </c>
      <c r="E87" s="2" t="s">
        <v>395</v>
      </c>
      <c r="F87" s="2" t="s">
        <v>180</v>
      </c>
      <c r="G87" s="5" t="s">
        <v>396</v>
      </c>
      <c r="H87" s="2" t="s">
        <v>397</v>
      </c>
      <c r="I87" s="1" t="s">
        <v>34</v>
      </c>
      <c r="J87" s="1" t="s">
        <v>35</v>
      </c>
      <c r="K87" s="1" t="s">
        <v>40</v>
      </c>
      <c r="L87" s="1"/>
    </row>
    <row r="88" spans="1:12" ht="15.75" customHeight="1">
      <c r="A88" s="1" t="s">
        <v>398</v>
      </c>
      <c r="B88" s="2" t="s">
        <v>399</v>
      </c>
      <c r="C88" s="2" t="s">
        <v>341</v>
      </c>
      <c r="D88" s="2" t="s">
        <v>342</v>
      </c>
      <c r="E88" s="2" t="s">
        <v>400</v>
      </c>
      <c r="F88" s="2" t="s">
        <v>24</v>
      </c>
      <c r="G88" s="5" t="s">
        <v>401</v>
      </c>
      <c r="H88" s="2" t="s">
        <v>402</v>
      </c>
      <c r="I88" s="1" t="s">
        <v>27</v>
      </c>
      <c r="J88" s="1" t="s">
        <v>28</v>
      </c>
      <c r="K88" s="1" t="s">
        <v>40</v>
      </c>
      <c r="L88" s="1"/>
    </row>
    <row r="89" spans="1:12" ht="15.75" customHeight="1">
      <c r="A89" s="1" t="s">
        <v>403</v>
      </c>
      <c r="B89" s="2" t="s">
        <v>404</v>
      </c>
      <c r="C89" s="2" t="s">
        <v>341</v>
      </c>
      <c r="D89" s="2" t="s">
        <v>342</v>
      </c>
      <c r="E89" s="2" t="s">
        <v>405</v>
      </c>
      <c r="F89" s="2" t="s">
        <v>264</v>
      </c>
      <c r="G89" s="5" t="s">
        <v>406</v>
      </c>
      <c r="H89" s="2" t="s">
        <v>407</v>
      </c>
      <c r="I89" s="1" t="s">
        <v>27</v>
      </c>
      <c r="J89" s="1" t="s">
        <v>28</v>
      </c>
      <c r="K89" s="1" t="s">
        <v>40</v>
      </c>
      <c r="L89" s="1"/>
    </row>
    <row r="90" spans="1:12" ht="15.75" customHeight="1">
      <c r="A90" s="1" t="s">
        <v>408</v>
      </c>
      <c r="B90" s="2" t="s">
        <v>404</v>
      </c>
      <c r="C90" s="2" t="s">
        <v>341</v>
      </c>
      <c r="D90" s="2" t="s">
        <v>342</v>
      </c>
      <c r="E90" s="2" t="s">
        <v>405</v>
      </c>
      <c r="F90" s="2" t="s">
        <v>264</v>
      </c>
      <c r="G90" s="5" t="s">
        <v>406</v>
      </c>
      <c r="H90" s="2" t="s">
        <v>409</v>
      </c>
      <c r="I90" s="1" t="s">
        <v>27</v>
      </c>
      <c r="J90" s="1" t="s">
        <v>28</v>
      </c>
      <c r="K90" s="1" t="s">
        <v>40</v>
      </c>
      <c r="L90" s="1"/>
    </row>
    <row r="91" spans="1:12" ht="15.75" customHeight="1">
      <c r="A91" s="1" t="s">
        <v>410</v>
      </c>
      <c r="B91" s="2" t="s">
        <v>358</v>
      </c>
      <c r="C91" s="2" t="s">
        <v>341</v>
      </c>
      <c r="D91" s="2" t="s">
        <v>342</v>
      </c>
      <c r="E91" s="2" t="s">
        <v>359</v>
      </c>
      <c r="F91" s="2" t="s">
        <v>15</v>
      </c>
      <c r="G91" s="5" t="s">
        <v>360</v>
      </c>
      <c r="H91" s="2" t="s">
        <v>411</v>
      </c>
      <c r="I91" s="1" t="s">
        <v>351</v>
      </c>
      <c r="J91" s="1" t="s">
        <v>28</v>
      </c>
      <c r="K91" s="1" t="s">
        <v>40</v>
      </c>
      <c r="L91" s="1"/>
    </row>
    <row r="92" spans="1:12" ht="15.75" customHeight="1">
      <c r="A92" s="1" t="s">
        <v>412</v>
      </c>
      <c r="B92" s="2" t="s">
        <v>413</v>
      </c>
      <c r="C92" s="2" t="s">
        <v>341</v>
      </c>
      <c r="D92" s="2" t="s">
        <v>342</v>
      </c>
      <c r="E92" s="2" t="s">
        <v>414</v>
      </c>
      <c r="F92" s="2" t="s">
        <v>180</v>
      </c>
      <c r="G92" s="5" t="s">
        <v>415</v>
      </c>
      <c r="H92" s="2" t="s">
        <v>416</v>
      </c>
      <c r="I92" s="1" t="s">
        <v>18</v>
      </c>
      <c r="J92" s="1" t="s">
        <v>19</v>
      </c>
      <c r="K92" s="1" t="s">
        <v>40</v>
      </c>
      <c r="L92" s="1"/>
    </row>
    <row r="93" spans="1:12" ht="15.75" customHeight="1">
      <c r="A93" s="1" t="s">
        <v>417</v>
      </c>
      <c r="B93" s="2" t="s">
        <v>418</v>
      </c>
      <c r="C93" s="2" t="s">
        <v>341</v>
      </c>
      <c r="D93" s="2" t="s">
        <v>342</v>
      </c>
      <c r="E93" s="2" t="s">
        <v>419</v>
      </c>
      <c r="F93" s="2" t="s">
        <v>126</v>
      </c>
      <c r="G93" s="5" t="s">
        <v>420</v>
      </c>
      <c r="H93" s="2" t="s">
        <v>421</v>
      </c>
      <c r="I93" s="1" t="s">
        <v>34</v>
      </c>
      <c r="J93" s="1" t="s">
        <v>35</v>
      </c>
      <c r="K93" s="1" t="s">
        <v>40</v>
      </c>
      <c r="L93" s="1"/>
    </row>
    <row r="94" spans="1:12" ht="15.75" customHeight="1">
      <c r="A94" s="1" t="s">
        <v>422</v>
      </c>
      <c r="B94" s="2" t="s">
        <v>423</v>
      </c>
      <c r="C94" s="2" t="s">
        <v>341</v>
      </c>
      <c r="D94" s="2" t="s">
        <v>342</v>
      </c>
      <c r="E94" s="2" t="s">
        <v>424</v>
      </c>
      <c r="F94" s="2" t="s">
        <v>24</v>
      </c>
      <c r="G94" s="5" t="s">
        <v>425</v>
      </c>
      <c r="H94" s="2" t="s">
        <v>426</v>
      </c>
      <c r="I94" s="1" t="s">
        <v>34</v>
      </c>
      <c r="J94" s="1" t="s">
        <v>35</v>
      </c>
      <c r="K94" s="1" t="s">
        <v>40</v>
      </c>
      <c r="L94" s="1"/>
    </row>
    <row r="95" spans="1:12" ht="15.75" customHeight="1">
      <c r="A95" s="1" t="s">
        <v>427</v>
      </c>
      <c r="B95" s="2" t="s">
        <v>379</v>
      </c>
      <c r="C95" s="2" t="s">
        <v>341</v>
      </c>
      <c r="D95" s="2" t="s">
        <v>342</v>
      </c>
      <c r="E95" s="2" t="s">
        <v>380</v>
      </c>
      <c r="F95" s="2" t="s">
        <v>15</v>
      </c>
      <c r="G95" s="5" t="s">
        <v>381</v>
      </c>
      <c r="H95" s="2" t="s">
        <v>428</v>
      </c>
      <c r="I95" s="1" t="s">
        <v>351</v>
      </c>
      <c r="J95" s="1" t="s">
        <v>28</v>
      </c>
      <c r="K95" s="1" t="s">
        <v>40</v>
      </c>
      <c r="L95" s="1"/>
    </row>
    <row r="96" spans="1:12" ht="15.75" customHeight="1">
      <c r="A96" s="1" t="s">
        <v>429</v>
      </c>
      <c r="B96" s="2" t="s">
        <v>384</v>
      </c>
      <c r="C96" s="2" t="s">
        <v>341</v>
      </c>
      <c r="D96" s="2" t="s">
        <v>342</v>
      </c>
      <c r="E96" s="2" t="s">
        <v>385</v>
      </c>
      <c r="F96" s="2" t="s">
        <v>180</v>
      </c>
      <c r="G96" s="5" t="s">
        <v>386</v>
      </c>
      <c r="H96" s="2" t="s">
        <v>430</v>
      </c>
      <c r="I96" s="1" t="s">
        <v>34</v>
      </c>
      <c r="J96" s="1" t="s">
        <v>35</v>
      </c>
      <c r="K96" s="1" t="s">
        <v>40</v>
      </c>
      <c r="L96" s="1"/>
    </row>
    <row r="97" spans="1:12" ht="15.75" customHeight="1">
      <c r="A97" s="1" t="s">
        <v>431</v>
      </c>
      <c r="B97" s="2" t="s">
        <v>432</v>
      </c>
      <c r="C97" s="2" t="s">
        <v>341</v>
      </c>
      <c r="D97" s="2" t="s">
        <v>342</v>
      </c>
      <c r="E97" s="2" t="s">
        <v>433</v>
      </c>
      <c r="F97" s="2" t="s">
        <v>120</v>
      </c>
      <c r="G97" s="5" t="s">
        <v>434</v>
      </c>
      <c r="H97" s="2" t="s">
        <v>435</v>
      </c>
      <c r="I97" s="1" t="s">
        <v>351</v>
      </c>
      <c r="J97" s="1" t="s">
        <v>28</v>
      </c>
      <c r="K97" s="1" t="s">
        <v>40</v>
      </c>
      <c r="L97" s="1"/>
    </row>
    <row r="98" spans="1:12" ht="15.75" customHeight="1">
      <c r="A98" s="1" t="s">
        <v>436</v>
      </c>
      <c r="B98" s="2" t="s">
        <v>340</v>
      </c>
      <c r="C98" s="2" t="s">
        <v>341</v>
      </c>
      <c r="D98" s="2" t="s">
        <v>342</v>
      </c>
      <c r="E98" s="2" t="s">
        <v>343</v>
      </c>
      <c r="F98" s="2" t="s">
        <v>126</v>
      </c>
      <c r="G98" s="5" t="s">
        <v>344</v>
      </c>
      <c r="H98" s="2" t="s">
        <v>437</v>
      </c>
      <c r="I98" s="1" t="s">
        <v>18</v>
      </c>
      <c r="J98" s="1" t="s">
        <v>19</v>
      </c>
      <c r="K98" s="1" t="s">
        <v>40</v>
      </c>
      <c r="L98" s="1"/>
    </row>
    <row r="99" spans="1:12" ht="15.75" customHeight="1">
      <c r="A99" s="1" t="s">
        <v>438</v>
      </c>
      <c r="B99" s="2" t="s">
        <v>413</v>
      </c>
      <c r="C99" s="2" t="s">
        <v>341</v>
      </c>
      <c r="D99" s="2" t="s">
        <v>342</v>
      </c>
      <c r="E99" s="2" t="s">
        <v>414</v>
      </c>
      <c r="F99" s="2" t="s">
        <v>180</v>
      </c>
      <c r="G99" s="5" t="s">
        <v>415</v>
      </c>
      <c r="H99" s="2" t="s">
        <v>439</v>
      </c>
      <c r="I99" s="1" t="s">
        <v>351</v>
      </c>
      <c r="J99" s="1" t="s">
        <v>28</v>
      </c>
      <c r="K99" s="1" t="s">
        <v>40</v>
      </c>
      <c r="L99" s="1"/>
    </row>
    <row r="100" spans="1:12" ht="15.75" customHeight="1">
      <c r="A100" s="1" t="s">
        <v>440</v>
      </c>
      <c r="B100" s="2" t="s">
        <v>441</v>
      </c>
      <c r="C100" s="2" t="s">
        <v>442</v>
      </c>
      <c r="D100" s="2" t="s">
        <v>443</v>
      </c>
      <c r="E100" s="2" t="s">
        <v>444</v>
      </c>
      <c r="F100" s="2" t="s">
        <v>15</v>
      </c>
      <c r="G100" s="5" t="s">
        <v>445</v>
      </c>
      <c r="H100" s="2" t="s">
        <v>446</v>
      </c>
      <c r="I100" s="1" t="s">
        <v>100</v>
      </c>
      <c r="J100" s="1" t="s">
        <v>78</v>
      </c>
      <c r="K100" s="1" t="s">
        <v>40</v>
      </c>
      <c r="L100" s="1"/>
    </row>
    <row r="101" spans="1:12" ht="15.75" customHeight="1">
      <c r="A101" s="1" t="s">
        <v>447</v>
      </c>
      <c r="B101" s="2" t="s">
        <v>441</v>
      </c>
      <c r="C101" s="2" t="s">
        <v>442</v>
      </c>
      <c r="D101" s="2" t="s">
        <v>443</v>
      </c>
      <c r="E101" s="2" t="s">
        <v>444</v>
      </c>
      <c r="F101" s="2" t="s">
        <v>15</v>
      </c>
      <c r="G101" s="5" t="s">
        <v>445</v>
      </c>
      <c r="H101" s="2" t="s">
        <v>448</v>
      </c>
      <c r="I101" s="1" t="s">
        <v>116</v>
      </c>
      <c r="J101" s="1" t="s">
        <v>19</v>
      </c>
      <c r="K101" s="1" t="s">
        <v>40</v>
      </c>
      <c r="L101" s="1"/>
    </row>
    <row r="102" spans="1:12" ht="15.75" customHeight="1">
      <c r="A102" s="1" t="s">
        <v>449</v>
      </c>
      <c r="B102" s="2" t="s">
        <v>441</v>
      </c>
      <c r="C102" s="2" t="s">
        <v>442</v>
      </c>
      <c r="D102" s="2" t="s">
        <v>443</v>
      </c>
      <c r="E102" s="2" t="s">
        <v>444</v>
      </c>
      <c r="F102" s="2" t="s">
        <v>15</v>
      </c>
      <c r="G102" s="5" t="s">
        <v>445</v>
      </c>
      <c r="H102" s="2" t="s">
        <v>450</v>
      </c>
      <c r="I102" s="1" t="s">
        <v>143</v>
      </c>
      <c r="J102" s="1" t="s">
        <v>35</v>
      </c>
      <c r="K102" s="1" t="s">
        <v>40</v>
      </c>
      <c r="L102" s="1"/>
    </row>
    <row r="103" spans="1:12" ht="15.75" customHeight="1">
      <c r="A103" s="1" t="s">
        <v>451</v>
      </c>
      <c r="B103" s="2" t="s">
        <v>452</v>
      </c>
      <c r="C103" s="2" t="s">
        <v>453</v>
      </c>
      <c r="D103" s="2" t="s">
        <v>454</v>
      </c>
      <c r="E103" s="2" t="s">
        <v>455</v>
      </c>
      <c r="F103" s="2" t="s">
        <v>157</v>
      </c>
      <c r="G103" s="5" t="s">
        <v>456</v>
      </c>
      <c r="H103" s="2" t="s">
        <v>457</v>
      </c>
      <c r="I103" s="1" t="s">
        <v>34</v>
      </c>
      <c r="J103" s="1" t="s">
        <v>35</v>
      </c>
      <c r="K103" s="1" t="s">
        <v>40</v>
      </c>
      <c r="L103" s="1"/>
    </row>
    <row r="104" spans="1:12" ht="15.75" customHeight="1">
      <c r="A104" s="1" t="s">
        <v>458</v>
      </c>
      <c r="B104" s="2" t="s">
        <v>452</v>
      </c>
      <c r="C104" s="2" t="s">
        <v>453</v>
      </c>
      <c r="D104" s="2" t="s">
        <v>454</v>
      </c>
      <c r="E104" s="2" t="s">
        <v>455</v>
      </c>
      <c r="F104" s="2" t="s">
        <v>157</v>
      </c>
      <c r="G104" s="5" t="s">
        <v>456</v>
      </c>
      <c r="H104" s="2" t="s">
        <v>459</v>
      </c>
      <c r="I104" s="1" t="s">
        <v>160</v>
      </c>
      <c r="J104" s="1" t="s">
        <v>78</v>
      </c>
      <c r="K104" s="1" t="s">
        <v>40</v>
      </c>
      <c r="L104" s="1"/>
    </row>
    <row r="105" spans="1:12" ht="15.75" customHeight="1">
      <c r="A105" s="1" t="s">
        <v>460</v>
      </c>
      <c r="B105" s="2" t="s">
        <v>461</v>
      </c>
      <c r="C105" s="2" t="s">
        <v>453</v>
      </c>
      <c r="D105" s="2" t="s">
        <v>454</v>
      </c>
      <c r="E105" s="2" t="s">
        <v>462</v>
      </c>
      <c r="F105" s="2" t="s">
        <v>157</v>
      </c>
      <c r="G105" s="8" t="s">
        <v>463</v>
      </c>
      <c r="H105" s="4" t="s">
        <v>464</v>
      </c>
      <c r="I105" s="1" t="s">
        <v>18</v>
      </c>
      <c r="J105" s="1" t="s">
        <v>19</v>
      </c>
      <c r="K105" s="6" t="s">
        <v>40</v>
      </c>
      <c r="L105" s="1"/>
    </row>
    <row r="106" spans="1:12" ht="15.75" customHeight="1">
      <c r="A106" s="1" t="s">
        <v>465</v>
      </c>
      <c r="B106" s="2" t="s">
        <v>466</v>
      </c>
      <c r="C106" s="2" t="s">
        <v>467</v>
      </c>
      <c r="D106" s="2" t="s">
        <v>454</v>
      </c>
      <c r="E106" s="2" t="s">
        <v>468</v>
      </c>
      <c r="F106" s="2" t="s">
        <v>15</v>
      </c>
      <c r="G106" s="8" t="s">
        <v>469</v>
      </c>
      <c r="H106" s="2" t="s">
        <v>470</v>
      </c>
      <c r="I106" s="1" t="s">
        <v>18</v>
      </c>
      <c r="J106" s="1" t="s">
        <v>19</v>
      </c>
      <c r="K106" s="6" t="s">
        <v>40</v>
      </c>
      <c r="L106" s="1"/>
    </row>
    <row r="107" spans="1:12" ht="15.75" customHeight="1">
      <c r="A107" s="1" t="s">
        <v>471</v>
      </c>
      <c r="B107" s="2" t="s">
        <v>472</v>
      </c>
      <c r="C107" s="2" t="s">
        <v>467</v>
      </c>
      <c r="D107" s="2" t="s">
        <v>454</v>
      </c>
      <c r="E107" s="2" t="s">
        <v>473</v>
      </c>
      <c r="F107" s="2" t="s">
        <v>140</v>
      </c>
      <c r="G107" s="8" t="s">
        <v>474</v>
      </c>
      <c r="H107" s="2" t="s">
        <v>475</v>
      </c>
      <c r="I107" s="1" t="s">
        <v>18</v>
      </c>
      <c r="J107" s="1" t="s">
        <v>19</v>
      </c>
      <c r="K107" s="6" t="s">
        <v>40</v>
      </c>
      <c r="L107" s="1"/>
    </row>
    <row r="108" spans="1:12" ht="15.75" customHeight="1">
      <c r="A108" s="1" t="s">
        <v>476</v>
      </c>
      <c r="B108" s="2" t="s">
        <v>477</v>
      </c>
      <c r="C108" s="2" t="s">
        <v>467</v>
      </c>
      <c r="D108" s="2" t="s">
        <v>454</v>
      </c>
      <c r="E108" s="2" t="s">
        <v>478</v>
      </c>
      <c r="F108" s="2" t="s">
        <v>24</v>
      </c>
      <c r="G108" s="9" t="s">
        <v>479</v>
      </c>
      <c r="H108" s="4" t="s">
        <v>480</v>
      </c>
      <c r="I108" s="1" t="s">
        <v>351</v>
      </c>
      <c r="J108" s="1" t="s">
        <v>28</v>
      </c>
      <c r="K108" s="6" t="s">
        <v>40</v>
      </c>
      <c r="L108" s="1"/>
    </row>
    <row r="109" spans="1:12" ht="15.75" customHeight="1">
      <c r="A109" s="1" t="s">
        <v>481</v>
      </c>
      <c r="B109" s="2" t="s">
        <v>482</v>
      </c>
      <c r="C109" s="2" t="s">
        <v>467</v>
      </c>
      <c r="D109" s="2" t="s">
        <v>454</v>
      </c>
      <c r="E109" s="2" t="s">
        <v>483</v>
      </c>
      <c r="F109" s="2" t="s">
        <v>24</v>
      </c>
      <c r="G109" s="9" t="s">
        <v>484</v>
      </c>
      <c r="H109" s="4" t="s">
        <v>485</v>
      </c>
      <c r="I109" s="1" t="s">
        <v>351</v>
      </c>
      <c r="J109" s="1" t="s">
        <v>28</v>
      </c>
      <c r="K109" s="6" t="s">
        <v>40</v>
      </c>
      <c r="L109" s="1"/>
    </row>
    <row r="110" spans="1:12" ht="15.75" customHeight="1">
      <c r="A110" s="1" t="s">
        <v>486</v>
      </c>
      <c r="B110" s="2" t="s">
        <v>487</v>
      </c>
      <c r="C110" s="2" t="s">
        <v>467</v>
      </c>
      <c r="D110" s="2" t="s">
        <v>454</v>
      </c>
      <c r="E110" s="2" t="s">
        <v>488</v>
      </c>
      <c r="F110" s="2" t="s">
        <v>61</v>
      </c>
      <c r="G110" s="8" t="s">
        <v>489</v>
      </c>
      <c r="H110" s="4" t="s">
        <v>490</v>
      </c>
      <c r="I110" s="1" t="s">
        <v>34</v>
      </c>
      <c r="J110" s="1" t="s">
        <v>35</v>
      </c>
      <c r="K110" s="6" t="s">
        <v>40</v>
      </c>
      <c r="L110" s="1"/>
    </row>
    <row r="111" spans="1:12" ht="15.75" customHeight="1">
      <c r="A111" s="1" t="s">
        <v>491</v>
      </c>
      <c r="B111" s="2" t="s">
        <v>492</v>
      </c>
      <c r="C111" s="2" t="s">
        <v>467</v>
      </c>
      <c r="D111" s="2" t="s">
        <v>454</v>
      </c>
      <c r="E111" s="2" t="s">
        <v>493</v>
      </c>
      <c r="F111" s="2" t="s">
        <v>61</v>
      </c>
      <c r="G111" s="9" t="s">
        <v>494</v>
      </c>
      <c r="H111" s="4" t="s">
        <v>495</v>
      </c>
      <c r="I111" s="1" t="s">
        <v>27</v>
      </c>
      <c r="J111" s="1" t="s">
        <v>28</v>
      </c>
      <c r="K111" s="6" t="s">
        <v>40</v>
      </c>
      <c r="L111" s="1"/>
    </row>
    <row r="112" spans="1:12" ht="15.75" customHeight="1">
      <c r="A112" s="1" t="s">
        <v>496</v>
      </c>
      <c r="B112" s="2" t="s">
        <v>472</v>
      </c>
      <c r="C112" s="2" t="s">
        <v>467</v>
      </c>
      <c r="D112" s="2" t="s">
        <v>454</v>
      </c>
      <c r="E112" s="2" t="s">
        <v>473</v>
      </c>
      <c r="F112" s="2" t="s">
        <v>140</v>
      </c>
      <c r="G112" s="9" t="s">
        <v>474</v>
      </c>
      <c r="H112" s="4" t="s">
        <v>497</v>
      </c>
      <c r="I112" s="1" t="s">
        <v>351</v>
      </c>
      <c r="J112" s="1" t="s">
        <v>28</v>
      </c>
      <c r="K112" s="6" t="s">
        <v>40</v>
      </c>
      <c r="L112" s="1"/>
    </row>
    <row r="113" spans="1:12" ht="15.75" customHeight="1">
      <c r="A113" s="1" t="s">
        <v>498</v>
      </c>
      <c r="B113" s="2" t="s">
        <v>499</v>
      </c>
      <c r="C113" s="2" t="s">
        <v>467</v>
      </c>
      <c r="D113" s="2" t="s">
        <v>454</v>
      </c>
      <c r="E113" s="2" t="s">
        <v>500</v>
      </c>
      <c r="F113" s="2" t="s">
        <v>61</v>
      </c>
      <c r="G113" s="10" t="s">
        <v>501</v>
      </c>
      <c r="H113" s="4" t="s">
        <v>502</v>
      </c>
      <c r="I113" s="1" t="s">
        <v>18</v>
      </c>
      <c r="J113" s="1" t="s">
        <v>19</v>
      </c>
      <c r="K113" s="6" t="s">
        <v>503</v>
      </c>
      <c r="L113" s="6" t="s">
        <v>504</v>
      </c>
    </row>
    <row r="114" spans="1:12" ht="15.75" customHeight="1">
      <c r="A114" s="1" t="s">
        <v>505</v>
      </c>
      <c r="B114" s="2" t="s">
        <v>482</v>
      </c>
      <c r="C114" s="2" t="s">
        <v>467</v>
      </c>
      <c r="D114" s="2" t="s">
        <v>454</v>
      </c>
      <c r="E114" s="2" t="s">
        <v>483</v>
      </c>
      <c r="F114" s="2" t="s">
        <v>24</v>
      </c>
      <c r="G114" s="9" t="s">
        <v>484</v>
      </c>
      <c r="H114" s="4" t="s">
        <v>506</v>
      </c>
      <c r="I114" s="1" t="s">
        <v>507</v>
      </c>
      <c r="J114" s="1" t="s">
        <v>50</v>
      </c>
      <c r="K114" s="6" t="s">
        <v>40</v>
      </c>
      <c r="L114" s="1"/>
    </row>
    <row r="115" spans="1:12" ht="15.75" customHeight="1">
      <c r="A115" s="1" t="s">
        <v>508</v>
      </c>
      <c r="B115" s="2" t="s">
        <v>466</v>
      </c>
      <c r="C115" s="2" t="s">
        <v>467</v>
      </c>
      <c r="D115" s="2" t="s">
        <v>454</v>
      </c>
      <c r="E115" s="2" t="s">
        <v>468</v>
      </c>
      <c r="F115" s="2" t="s">
        <v>15</v>
      </c>
      <c r="G115" s="9" t="s">
        <v>469</v>
      </c>
      <c r="H115" s="4" t="s">
        <v>509</v>
      </c>
      <c r="I115" s="1" t="s">
        <v>160</v>
      </c>
      <c r="J115" s="1" t="s">
        <v>78</v>
      </c>
      <c r="K115" s="6" t="s">
        <v>40</v>
      </c>
      <c r="L115" s="1"/>
    </row>
    <row r="116" spans="1:12" ht="15.75" customHeight="1">
      <c r="A116" s="1" t="s">
        <v>510</v>
      </c>
      <c r="B116" s="2" t="s">
        <v>472</v>
      </c>
      <c r="C116" s="2" t="s">
        <v>467</v>
      </c>
      <c r="D116" s="2" t="s">
        <v>454</v>
      </c>
      <c r="E116" s="2" t="s">
        <v>473</v>
      </c>
      <c r="F116" s="2" t="s">
        <v>140</v>
      </c>
      <c r="G116" s="8" t="s">
        <v>474</v>
      </c>
      <c r="H116" s="4" t="s">
        <v>511</v>
      </c>
      <c r="I116" s="1" t="s">
        <v>34</v>
      </c>
      <c r="J116" s="1" t="s">
        <v>35</v>
      </c>
      <c r="K116" s="6" t="s">
        <v>40</v>
      </c>
      <c r="L116" s="1"/>
    </row>
    <row r="117" spans="1:12" ht="15.75" customHeight="1">
      <c r="A117" s="1" t="s">
        <v>512</v>
      </c>
      <c r="B117" s="2" t="s">
        <v>513</v>
      </c>
      <c r="C117" s="2" t="s">
        <v>467</v>
      </c>
      <c r="D117" s="2" t="s">
        <v>454</v>
      </c>
      <c r="E117" s="2" t="s">
        <v>514</v>
      </c>
      <c r="F117" s="2" t="s">
        <v>180</v>
      </c>
      <c r="G117" s="9" t="s">
        <v>515</v>
      </c>
      <c r="H117" s="4" t="s">
        <v>516</v>
      </c>
      <c r="I117" s="1" t="s">
        <v>351</v>
      </c>
      <c r="J117" s="1" t="s">
        <v>28</v>
      </c>
      <c r="K117" s="6" t="s">
        <v>40</v>
      </c>
      <c r="L117" s="1"/>
    </row>
    <row r="118" spans="1:12" ht="15.75" customHeight="1">
      <c r="A118" s="1" t="s">
        <v>517</v>
      </c>
      <c r="B118" s="2" t="s">
        <v>492</v>
      </c>
      <c r="C118" s="2" t="s">
        <v>467</v>
      </c>
      <c r="D118" s="2" t="s">
        <v>454</v>
      </c>
      <c r="E118" s="2" t="s">
        <v>493</v>
      </c>
      <c r="F118" s="2" t="s">
        <v>61</v>
      </c>
      <c r="G118" s="8" t="s">
        <v>494</v>
      </c>
      <c r="H118" s="4" t="s">
        <v>518</v>
      </c>
      <c r="I118" s="1" t="s">
        <v>34</v>
      </c>
      <c r="J118" s="1" t="s">
        <v>35</v>
      </c>
      <c r="K118" s="6" t="s">
        <v>40</v>
      </c>
      <c r="L118" s="1"/>
    </row>
    <row r="119" spans="1:12" ht="15.75" customHeight="1">
      <c r="A119" s="1" t="s">
        <v>519</v>
      </c>
      <c r="B119" s="2" t="s">
        <v>472</v>
      </c>
      <c r="C119" s="2" t="s">
        <v>467</v>
      </c>
      <c r="D119" s="2" t="s">
        <v>454</v>
      </c>
      <c r="E119" s="2" t="s">
        <v>473</v>
      </c>
      <c r="F119" s="2" t="s">
        <v>140</v>
      </c>
      <c r="G119" s="9" t="s">
        <v>474</v>
      </c>
      <c r="H119" s="4" t="s">
        <v>520</v>
      </c>
      <c r="I119" s="1" t="s">
        <v>351</v>
      </c>
      <c r="J119" s="1" t="s">
        <v>28</v>
      </c>
      <c r="K119" s="6" t="s">
        <v>40</v>
      </c>
      <c r="L119" s="1"/>
    </row>
    <row r="120" spans="1:12" ht="15.75" customHeight="1">
      <c r="A120" s="1" t="s">
        <v>521</v>
      </c>
      <c r="B120" s="2" t="s">
        <v>492</v>
      </c>
      <c r="C120" s="2" t="s">
        <v>467</v>
      </c>
      <c r="D120" s="2" t="s">
        <v>454</v>
      </c>
      <c r="E120" s="2" t="s">
        <v>493</v>
      </c>
      <c r="F120" s="2" t="s">
        <v>61</v>
      </c>
      <c r="G120" s="8" t="s">
        <v>494</v>
      </c>
      <c r="H120" s="4" t="s">
        <v>522</v>
      </c>
      <c r="I120" s="1" t="s">
        <v>27</v>
      </c>
      <c r="J120" s="1" t="s">
        <v>28</v>
      </c>
      <c r="K120" s="6" t="s">
        <v>40</v>
      </c>
      <c r="L120" s="1"/>
    </row>
    <row r="121" spans="1:12" ht="15.75" customHeight="1">
      <c r="A121" s="1" t="s">
        <v>523</v>
      </c>
      <c r="B121" s="2" t="s">
        <v>472</v>
      </c>
      <c r="C121" s="2" t="s">
        <v>467</v>
      </c>
      <c r="D121" s="2" t="s">
        <v>454</v>
      </c>
      <c r="E121" s="2" t="s">
        <v>473</v>
      </c>
      <c r="F121" s="2" t="s">
        <v>140</v>
      </c>
      <c r="G121" s="9" t="s">
        <v>474</v>
      </c>
      <c r="H121" s="4" t="s">
        <v>524</v>
      </c>
      <c r="I121" s="1" t="s">
        <v>34</v>
      </c>
      <c r="J121" s="1" t="s">
        <v>35</v>
      </c>
      <c r="K121" s="6" t="s">
        <v>40</v>
      </c>
      <c r="L121" s="1"/>
    </row>
    <row r="122" spans="1:12" ht="15.75" customHeight="1">
      <c r="A122" s="1" t="s">
        <v>525</v>
      </c>
      <c r="B122" s="2" t="s">
        <v>526</v>
      </c>
      <c r="C122" s="2" t="s">
        <v>467</v>
      </c>
      <c r="D122" s="2" t="s">
        <v>454</v>
      </c>
      <c r="E122" s="2" t="s">
        <v>527</v>
      </c>
      <c r="F122" s="2" t="s">
        <v>24</v>
      </c>
      <c r="G122" s="8" t="s">
        <v>528</v>
      </c>
      <c r="H122" s="4" t="s">
        <v>529</v>
      </c>
      <c r="I122" s="1" t="s">
        <v>351</v>
      </c>
      <c r="J122" s="1" t="s">
        <v>28</v>
      </c>
      <c r="K122" s="6" t="s">
        <v>40</v>
      </c>
      <c r="L122" s="1"/>
    </row>
    <row r="123" spans="1:12" ht="15.75" customHeight="1">
      <c r="A123" s="1" t="s">
        <v>530</v>
      </c>
      <c r="B123" s="2" t="s">
        <v>492</v>
      </c>
      <c r="C123" s="2" t="s">
        <v>467</v>
      </c>
      <c r="D123" s="2" t="s">
        <v>454</v>
      </c>
      <c r="E123" s="2" t="s">
        <v>493</v>
      </c>
      <c r="F123" s="2" t="s">
        <v>61</v>
      </c>
      <c r="G123" s="9" t="s">
        <v>494</v>
      </c>
      <c r="H123" s="4" t="s">
        <v>531</v>
      </c>
      <c r="I123" s="1" t="s">
        <v>27</v>
      </c>
      <c r="J123" s="1" t="s">
        <v>28</v>
      </c>
      <c r="K123" s="6" t="s">
        <v>40</v>
      </c>
      <c r="L123" s="1"/>
    </row>
    <row r="124" spans="1:12" ht="15.75" customHeight="1">
      <c r="A124" s="1" t="s">
        <v>532</v>
      </c>
      <c r="B124" s="2" t="s">
        <v>533</v>
      </c>
      <c r="C124" s="2" t="s">
        <v>467</v>
      </c>
      <c r="D124" s="2" t="s">
        <v>454</v>
      </c>
      <c r="E124" s="2" t="s">
        <v>534</v>
      </c>
      <c r="F124" s="2" t="s">
        <v>24</v>
      </c>
      <c r="G124" s="9" t="s">
        <v>535</v>
      </c>
      <c r="H124" s="4" t="s">
        <v>536</v>
      </c>
      <c r="I124" s="1" t="s">
        <v>27</v>
      </c>
      <c r="J124" s="1" t="s">
        <v>28</v>
      </c>
      <c r="K124" s="6" t="s">
        <v>40</v>
      </c>
      <c r="L124" s="1"/>
    </row>
    <row r="125" spans="1:12" ht="15.75" customHeight="1">
      <c r="A125" s="1" t="s">
        <v>537</v>
      </c>
      <c r="B125" s="2" t="s">
        <v>472</v>
      </c>
      <c r="C125" s="2" t="s">
        <v>467</v>
      </c>
      <c r="D125" s="2" t="s">
        <v>454</v>
      </c>
      <c r="E125" s="2" t="s">
        <v>473</v>
      </c>
      <c r="F125" s="2" t="s">
        <v>140</v>
      </c>
      <c r="G125" s="9" t="s">
        <v>474</v>
      </c>
      <c r="H125" s="4" t="s">
        <v>538</v>
      </c>
      <c r="I125" s="1" t="s">
        <v>351</v>
      </c>
      <c r="J125" s="1" t="s">
        <v>28</v>
      </c>
      <c r="K125" s="6" t="s">
        <v>40</v>
      </c>
      <c r="L125" s="1"/>
    </row>
    <row r="126" spans="1:12" ht="15.75" customHeight="1">
      <c r="A126" s="1" t="s">
        <v>539</v>
      </c>
      <c r="B126" s="2" t="s">
        <v>487</v>
      </c>
      <c r="C126" s="2" t="s">
        <v>467</v>
      </c>
      <c r="D126" s="2" t="s">
        <v>454</v>
      </c>
      <c r="E126" s="2" t="s">
        <v>488</v>
      </c>
      <c r="F126" s="2" t="s">
        <v>61</v>
      </c>
      <c r="G126" s="8" t="s">
        <v>489</v>
      </c>
      <c r="H126" s="4" t="s">
        <v>540</v>
      </c>
      <c r="I126" s="1" t="s">
        <v>34</v>
      </c>
      <c r="J126" s="1" t="s">
        <v>35</v>
      </c>
      <c r="K126" s="6" t="s">
        <v>40</v>
      </c>
      <c r="L126" s="1"/>
    </row>
    <row r="127" spans="1:12" ht="15.75" customHeight="1">
      <c r="A127" s="1" t="s">
        <v>541</v>
      </c>
      <c r="B127" s="2" t="s">
        <v>542</v>
      </c>
      <c r="C127" s="2" t="s">
        <v>467</v>
      </c>
      <c r="D127" s="2" t="s">
        <v>454</v>
      </c>
      <c r="E127" s="2" t="s">
        <v>543</v>
      </c>
      <c r="F127" s="2" t="s">
        <v>180</v>
      </c>
      <c r="G127" s="9" t="s">
        <v>544</v>
      </c>
      <c r="H127" s="4" t="s">
        <v>545</v>
      </c>
      <c r="I127" s="1" t="s">
        <v>34</v>
      </c>
      <c r="J127" s="1" t="s">
        <v>35</v>
      </c>
      <c r="K127" s="6" t="s">
        <v>40</v>
      </c>
      <c r="L127" s="1"/>
    </row>
    <row r="128" spans="1:12" ht="15.75" customHeight="1">
      <c r="A128" s="1" t="s">
        <v>546</v>
      </c>
      <c r="B128" s="2" t="s">
        <v>513</v>
      </c>
      <c r="C128" s="2" t="s">
        <v>467</v>
      </c>
      <c r="D128" s="2" t="s">
        <v>454</v>
      </c>
      <c r="E128" s="2" t="s">
        <v>514</v>
      </c>
      <c r="F128" s="2" t="s">
        <v>180</v>
      </c>
      <c r="G128" s="9" t="s">
        <v>515</v>
      </c>
      <c r="H128" s="4" t="s">
        <v>547</v>
      </c>
      <c r="I128" s="1" t="s">
        <v>18</v>
      </c>
      <c r="J128" s="1" t="s">
        <v>19</v>
      </c>
      <c r="K128" s="6" t="s">
        <v>40</v>
      </c>
      <c r="L128" s="1"/>
    </row>
    <row r="129" spans="1:12" ht="15.75" customHeight="1">
      <c r="A129" s="1" t="s">
        <v>548</v>
      </c>
      <c r="B129" s="2" t="s">
        <v>499</v>
      </c>
      <c r="C129" s="2" t="s">
        <v>467</v>
      </c>
      <c r="D129" s="2" t="s">
        <v>454</v>
      </c>
      <c r="E129" s="2" t="s">
        <v>500</v>
      </c>
      <c r="F129" s="2" t="s">
        <v>61</v>
      </c>
      <c r="G129" s="8" t="s">
        <v>501</v>
      </c>
      <c r="H129" s="4" t="s">
        <v>549</v>
      </c>
      <c r="I129" s="1" t="s">
        <v>34</v>
      </c>
      <c r="J129" s="1" t="s">
        <v>35</v>
      </c>
      <c r="K129" s="6" t="s">
        <v>144</v>
      </c>
      <c r="L129" s="6" t="s">
        <v>18</v>
      </c>
    </row>
    <row r="130" spans="1:12" ht="15.75" customHeight="1">
      <c r="A130" s="1" t="s">
        <v>550</v>
      </c>
      <c r="B130" s="2" t="s">
        <v>499</v>
      </c>
      <c r="C130" s="2" t="s">
        <v>467</v>
      </c>
      <c r="D130" s="2" t="s">
        <v>454</v>
      </c>
      <c r="E130" s="2" t="s">
        <v>500</v>
      </c>
      <c r="F130" s="2" t="s">
        <v>61</v>
      </c>
      <c r="G130" s="9" t="s">
        <v>501</v>
      </c>
      <c r="H130" s="4" t="s">
        <v>551</v>
      </c>
      <c r="I130" s="1" t="s">
        <v>34</v>
      </c>
      <c r="J130" s="1" t="s">
        <v>35</v>
      </c>
      <c r="K130" s="6" t="s">
        <v>40</v>
      </c>
      <c r="L130" s="1"/>
    </row>
    <row r="131" spans="1:12" ht="15.75" customHeight="1">
      <c r="A131" s="1" t="s">
        <v>552</v>
      </c>
      <c r="B131" s="2" t="s">
        <v>513</v>
      </c>
      <c r="C131" s="2" t="s">
        <v>467</v>
      </c>
      <c r="D131" s="2" t="s">
        <v>454</v>
      </c>
      <c r="E131" s="2" t="s">
        <v>514</v>
      </c>
      <c r="F131" s="2" t="s">
        <v>180</v>
      </c>
      <c r="G131" s="9" t="s">
        <v>515</v>
      </c>
      <c r="H131" s="4" t="s">
        <v>553</v>
      </c>
      <c r="I131" s="1" t="s">
        <v>351</v>
      </c>
      <c r="J131" s="1" t="s">
        <v>28</v>
      </c>
      <c r="K131" s="6" t="s">
        <v>40</v>
      </c>
      <c r="L131" s="1"/>
    </row>
    <row r="132" spans="1:12" ht="15.75" customHeight="1">
      <c r="A132" s="1" t="s">
        <v>554</v>
      </c>
      <c r="B132" s="2" t="s">
        <v>492</v>
      </c>
      <c r="C132" s="2" t="s">
        <v>467</v>
      </c>
      <c r="D132" s="2" t="s">
        <v>454</v>
      </c>
      <c r="E132" s="2" t="s">
        <v>493</v>
      </c>
      <c r="F132" s="2" t="s">
        <v>61</v>
      </c>
      <c r="G132" s="9" t="s">
        <v>494</v>
      </c>
      <c r="H132" s="4" t="s">
        <v>555</v>
      </c>
      <c r="I132" s="1" t="s">
        <v>27</v>
      </c>
      <c r="J132" s="1" t="s">
        <v>28</v>
      </c>
      <c r="K132" s="6" t="s">
        <v>40</v>
      </c>
      <c r="L132" s="1"/>
    </row>
    <row r="133" spans="1:12" ht="15.75" customHeight="1">
      <c r="A133" s="1" t="s">
        <v>556</v>
      </c>
      <c r="B133" s="2" t="s">
        <v>557</v>
      </c>
      <c r="C133" s="2" t="s">
        <v>558</v>
      </c>
      <c r="D133" s="2" t="s">
        <v>44</v>
      </c>
      <c r="E133" s="2" t="s">
        <v>559</v>
      </c>
      <c r="F133" s="2" t="s">
        <v>46</v>
      </c>
      <c r="G133" s="9" t="s">
        <v>560</v>
      </c>
      <c r="H133" s="4" t="s">
        <v>561</v>
      </c>
      <c r="I133" s="1" t="s">
        <v>100</v>
      </c>
      <c r="J133" s="1" t="s">
        <v>78</v>
      </c>
      <c r="K133" s="6" t="s">
        <v>40</v>
      </c>
      <c r="L133" s="1"/>
    </row>
    <row r="134" spans="1:12" ht="15.75" customHeight="1">
      <c r="A134" s="1" t="s">
        <v>562</v>
      </c>
      <c r="B134" s="2" t="s">
        <v>563</v>
      </c>
      <c r="C134" s="2" t="s">
        <v>558</v>
      </c>
      <c r="D134" s="2" t="s">
        <v>44</v>
      </c>
      <c r="E134" s="2" t="s">
        <v>564</v>
      </c>
      <c r="F134" s="2" t="s">
        <v>46</v>
      </c>
      <c r="G134" s="8" t="s">
        <v>565</v>
      </c>
      <c r="H134" s="4" t="s">
        <v>566</v>
      </c>
      <c r="I134" s="1" t="s">
        <v>100</v>
      </c>
      <c r="J134" s="1" t="s">
        <v>78</v>
      </c>
      <c r="K134" s="6" t="s">
        <v>40</v>
      </c>
      <c r="L134" s="1"/>
    </row>
    <row r="135" spans="1:12" ht="15.75" customHeight="1">
      <c r="A135" s="1" t="s">
        <v>567</v>
      </c>
      <c r="B135" s="2" t="s">
        <v>568</v>
      </c>
      <c r="C135" s="2" t="s">
        <v>558</v>
      </c>
      <c r="D135" s="2" t="s">
        <v>44</v>
      </c>
      <c r="E135" s="2" t="s">
        <v>569</v>
      </c>
      <c r="F135" s="2" t="s">
        <v>46</v>
      </c>
      <c r="G135" s="9" t="s">
        <v>570</v>
      </c>
      <c r="H135" s="4" t="s">
        <v>571</v>
      </c>
      <c r="I135" s="1" t="s">
        <v>116</v>
      </c>
      <c r="J135" s="1" t="s">
        <v>19</v>
      </c>
      <c r="K135" s="6" t="s">
        <v>40</v>
      </c>
      <c r="L135" s="1"/>
    </row>
    <row r="136" spans="1:12" ht="15.75" customHeight="1">
      <c r="A136" s="1" t="s">
        <v>572</v>
      </c>
      <c r="B136" s="2" t="s">
        <v>573</v>
      </c>
      <c r="C136" s="2" t="s">
        <v>558</v>
      </c>
      <c r="D136" s="2" t="s">
        <v>44</v>
      </c>
      <c r="E136" s="2" t="s">
        <v>574</v>
      </c>
      <c r="F136" s="2" t="s">
        <v>46</v>
      </c>
      <c r="G136" s="9" t="s">
        <v>575</v>
      </c>
      <c r="H136" s="4" t="s">
        <v>576</v>
      </c>
      <c r="I136" s="1" t="s">
        <v>100</v>
      </c>
      <c r="J136" s="1" t="s">
        <v>78</v>
      </c>
      <c r="K136" s="6" t="s">
        <v>40</v>
      </c>
      <c r="L136" s="1"/>
    </row>
    <row r="137" spans="1:12" ht="15.75" customHeight="1">
      <c r="A137" s="1" t="s">
        <v>577</v>
      </c>
      <c r="B137" s="2" t="s">
        <v>563</v>
      </c>
      <c r="C137" s="2" t="s">
        <v>558</v>
      </c>
      <c r="D137" s="2" t="s">
        <v>44</v>
      </c>
      <c r="E137" s="2" t="s">
        <v>564</v>
      </c>
      <c r="F137" s="2" t="s">
        <v>46</v>
      </c>
      <c r="G137" s="9" t="s">
        <v>565</v>
      </c>
      <c r="H137" s="4" t="s">
        <v>578</v>
      </c>
      <c r="I137" s="1" t="s">
        <v>100</v>
      </c>
      <c r="J137" s="1" t="s">
        <v>78</v>
      </c>
      <c r="K137" s="6" t="s">
        <v>40</v>
      </c>
      <c r="L137" s="1"/>
    </row>
    <row r="138" spans="1:12" ht="15.75" customHeight="1">
      <c r="A138" s="1" t="s">
        <v>579</v>
      </c>
      <c r="B138" s="2" t="s">
        <v>580</v>
      </c>
      <c r="C138" s="2" t="s">
        <v>558</v>
      </c>
      <c r="D138" s="2" t="s">
        <v>44</v>
      </c>
      <c r="E138" s="2" t="s">
        <v>581</v>
      </c>
      <c r="F138" s="2" t="s">
        <v>46</v>
      </c>
      <c r="G138" s="9" t="s">
        <v>582</v>
      </c>
      <c r="H138" s="4" t="s">
        <v>583</v>
      </c>
      <c r="I138" s="1" t="s">
        <v>116</v>
      </c>
      <c r="J138" s="1" t="s">
        <v>19</v>
      </c>
      <c r="K138" s="6" t="s">
        <v>40</v>
      </c>
      <c r="L138" s="1"/>
    </row>
    <row r="139" spans="1:12" ht="15.75" customHeight="1">
      <c r="A139" s="1" t="s">
        <v>584</v>
      </c>
      <c r="B139" s="2" t="s">
        <v>585</v>
      </c>
      <c r="C139" s="2" t="s">
        <v>558</v>
      </c>
      <c r="D139" s="2" t="s">
        <v>44</v>
      </c>
      <c r="E139" s="2" t="s">
        <v>586</v>
      </c>
      <c r="F139" s="2" t="s">
        <v>46</v>
      </c>
      <c r="G139" s="8" t="s">
        <v>587</v>
      </c>
      <c r="H139" s="4" t="s">
        <v>588</v>
      </c>
      <c r="I139" s="1" t="s">
        <v>100</v>
      </c>
      <c r="J139" s="1" t="s">
        <v>78</v>
      </c>
      <c r="K139" s="6" t="s">
        <v>40</v>
      </c>
      <c r="L139" s="1"/>
    </row>
    <row r="140" spans="1:12" ht="15.75" customHeight="1">
      <c r="A140" s="1" t="s">
        <v>589</v>
      </c>
      <c r="B140" s="2" t="s">
        <v>573</v>
      </c>
      <c r="C140" s="2" t="s">
        <v>558</v>
      </c>
      <c r="D140" s="2" t="s">
        <v>44</v>
      </c>
      <c r="E140" s="2" t="s">
        <v>574</v>
      </c>
      <c r="F140" s="2" t="s">
        <v>46</v>
      </c>
      <c r="G140" s="8" t="s">
        <v>575</v>
      </c>
      <c r="H140" s="4" t="s">
        <v>590</v>
      </c>
      <c r="I140" s="1" t="s">
        <v>100</v>
      </c>
      <c r="J140" s="1" t="s">
        <v>78</v>
      </c>
      <c r="K140" s="6" t="s">
        <v>40</v>
      </c>
      <c r="L140" s="1"/>
    </row>
    <row r="141" spans="1:12" ht="15.75" customHeight="1">
      <c r="A141" s="1" t="s">
        <v>591</v>
      </c>
      <c r="B141" s="2" t="s">
        <v>573</v>
      </c>
      <c r="C141" s="2" t="s">
        <v>558</v>
      </c>
      <c r="D141" s="2" t="s">
        <v>44</v>
      </c>
      <c r="E141" s="2" t="s">
        <v>574</v>
      </c>
      <c r="F141" s="2" t="s">
        <v>46</v>
      </c>
      <c r="G141" s="9" t="s">
        <v>575</v>
      </c>
      <c r="H141" s="4" t="s">
        <v>592</v>
      </c>
      <c r="I141" s="1" t="s">
        <v>143</v>
      </c>
      <c r="J141" s="1" t="s">
        <v>35</v>
      </c>
      <c r="K141" s="6" t="s">
        <v>40</v>
      </c>
      <c r="L141" s="1"/>
    </row>
    <row r="142" spans="1:12" ht="15.75" customHeight="1">
      <c r="A142" s="1" t="s">
        <v>593</v>
      </c>
      <c r="B142" s="2" t="s">
        <v>585</v>
      </c>
      <c r="C142" s="2" t="s">
        <v>558</v>
      </c>
      <c r="D142" s="2" t="s">
        <v>44</v>
      </c>
      <c r="E142" s="2" t="s">
        <v>586</v>
      </c>
      <c r="F142" s="2" t="s">
        <v>46</v>
      </c>
      <c r="G142" s="8" t="s">
        <v>587</v>
      </c>
      <c r="H142" s="4" t="s">
        <v>594</v>
      </c>
      <c r="I142" s="1" t="s">
        <v>100</v>
      </c>
      <c r="J142" s="1" t="s">
        <v>78</v>
      </c>
      <c r="K142" s="6" t="s">
        <v>40</v>
      </c>
      <c r="L142" s="1"/>
    </row>
    <row r="143" spans="1:12" ht="15.75" customHeight="1">
      <c r="A143" s="1" t="s">
        <v>595</v>
      </c>
      <c r="B143" s="2" t="s">
        <v>596</v>
      </c>
      <c r="C143" s="2" t="s">
        <v>558</v>
      </c>
      <c r="D143" s="2" t="s">
        <v>44</v>
      </c>
      <c r="E143" s="2" t="s">
        <v>597</v>
      </c>
      <c r="F143" s="2" t="s">
        <v>46</v>
      </c>
      <c r="G143" s="8" t="s">
        <v>598</v>
      </c>
      <c r="H143" s="2" t="s">
        <v>599</v>
      </c>
      <c r="I143" s="1" t="s">
        <v>116</v>
      </c>
      <c r="J143" s="1" t="s">
        <v>19</v>
      </c>
      <c r="K143" s="6" t="s">
        <v>40</v>
      </c>
      <c r="L143" s="1"/>
    </row>
    <row r="144" spans="1:12" ht="15.75" customHeight="1">
      <c r="A144" s="1" t="s">
        <v>600</v>
      </c>
      <c r="B144" s="2" t="s">
        <v>568</v>
      </c>
      <c r="C144" s="2" t="s">
        <v>558</v>
      </c>
      <c r="D144" s="2" t="s">
        <v>44</v>
      </c>
      <c r="E144" s="2" t="s">
        <v>569</v>
      </c>
      <c r="F144" s="2" t="s">
        <v>46</v>
      </c>
      <c r="G144" s="8" t="s">
        <v>570</v>
      </c>
      <c r="H144" s="2" t="s">
        <v>601</v>
      </c>
      <c r="I144" s="1" t="s">
        <v>116</v>
      </c>
      <c r="J144" s="1" t="s">
        <v>19</v>
      </c>
      <c r="K144" s="6" t="s">
        <v>40</v>
      </c>
      <c r="L144" s="1"/>
    </row>
    <row r="145" spans="1:12" ht="15.75" customHeight="1">
      <c r="A145" s="1" t="s">
        <v>602</v>
      </c>
      <c r="B145" s="2" t="s">
        <v>568</v>
      </c>
      <c r="C145" s="2" t="s">
        <v>558</v>
      </c>
      <c r="D145" s="2" t="s">
        <v>44</v>
      </c>
      <c r="E145" s="2" t="s">
        <v>569</v>
      </c>
      <c r="F145" s="2" t="s">
        <v>46</v>
      </c>
      <c r="G145" s="9" t="s">
        <v>570</v>
      </c>
      <c r="H145" s="2" t="s">
        <v>603</v>
      </c>
      <c r="I145" s="1" t="s">
        <v>100</v>
      </c>
      <c r="J145" s="1" t="s">
        <v>78</v>
      </c>
      <c r="K145" s="6" t="s">
        <v>40</v>
      </c>
      <c r="L145" s="1"/>
    </row>
    <row r="146" spans="1:12" ht="15.75" customHeight="1">
      <c r="A146" s="1" t="s">
        <v>604</v>
      </c>
      <c r="B146" s="2" t="s">
        <v>605</v>
      </c>
      <c r="C146" s="2" t="s">
        <v>558</v>
      </c>
      <c r="D146" s="2" t="s">
        <v>44</v>
      </c>
      <c r="E146" s="2" t="s">
        <v>606</v>
      </c>
      <c r="F146" s="2" t="s">
        <v>46</v>
      </c>
      <c r="G146" s="9" t="s">
        <v>607</v>
      </c>
      <c r="H146" s="4" t="s">
        <v>608</v>
      </c>
      <c r="I146" s="1" t="s">
        <v>609</v>
      </c>
      <c r="J146" s="1" t="s">
        <v>50</v>
      </c>
      <c r="K146" s="6" t="s">
        <v>40</v>
      </c>
      <c r="L146" s="1"/>
    </row>
    <row r="147" spans="1:12" ht="15.75" customHeight="1">
      <c r="A147" s="1" t="s">
        <v>610</v>
      </c>
      <c r="B147" s="2" t="s">
        <v>605</v>
      </c>
      <c r="C147" s="2" t="s">
        <v>558</v>
      </c>
      <c r="D147" s="2" t="s">
        <v>44</v>
      </c>
      <c r="E147" s="2" t="s">
        <v>606</v>
      </c>
      <c r="F147" s="2" t="s">
        <v>46</v>
      </c>
      <c r="G147" s="8" t="s">
        <v>607</v>
      </c>
      <c r="H147" s="4" t="s">
        <v>611</v>
      </c>
      <c r="I147" s="1" t="s">
        <v>116</v>
      </c>
      <c r="J147" s="1" t="s">
        <v>19</v>
      </c>
      <c r="K147" s="6" t="s">
        <v>40</v>
      </c>
      <c r="L147" s="1"/>
    </row>
    <row r="148" spans="1:12" ht="15.75" customHeight="1">
      <c r="A148" s="1" t="s">
        <v>612</v>
      </c>
      <c r="B148" s="2" t="s">
        <v>573</v>
      </c>
      <c r="C148" s="2" t="s">
        <v>558</v>
      </c>
      <c r="D148" s="2" t="s">
        <v>44</v>
      </c>
      <c r="E148" s="2" t="s">
        <v>574</v>
      </c>
      <c r="F148" s="2" t="s">
        <v>46</v>
      </c>
      <c r="G148" s="8" t="s">
        <v>575</v>
      </c>
      <c r="H148" s="2" t="s">
        <v>613</v>
      </c>
      <c r="I148" s="1" t="s">
        <v>116</v>
      </c>
      <c r="J148" s="1" t="s">
        <v>19</v>
      </c>
      <c r="K148" s="6" t="s">
        <v>40</v>
      </c>
      <c r="L148" s="1"/>
    </row>
    <row r="149" spans="1:12" ht="15.75" customHeight="1">
      <c r="A149" s="1" t="s">
        <v>614</v>
      </c>
      <c r="B149" s="2" t="s">
        <v>615</v>
      </c>
      <c r="C149" s="2" t="s">
        <v>558</v>
      </c>
      <c r="D149" s="2" t="s">
        <v>44</v>
      </c>
      <c r="E149" s="2" t="s">
        <v>616</v>
      </c>
      <c r="F149" s="2" t="s">
        <v>46</v>
      </c>
      <c r="G149" s="8" t="s">
        <v>617</v>
      </c>
      <c r="H149" s="2" t="s">
        <v>618</v>
      </c>
      <c r="I149" s="1" t="s">
        <v>609</v>
      </c>
      <c r="J149" s="1" t="s">
        <v>50</v>
      </c>
      <c r="K149" s="6" t="s">
        <v>40</v>
      </c>
      <c r="L149" s="1"/>
    </row>
    <row r="150" spans="1:12" ht="15.75" customHeight="1">
      <c r="A150" s="1" t="s">
        <v>619</v>
      </c>
      <c r="B150" s="2" t="s">
        <v>620</v>
      </c>
      <c r="C150" s="2" t="s">
        <v>558</v>
      </c>
      <c r="D150" s="2" t="s">
        <v>44</v>
      </c>
      <c r="E150" s="2" t="s">
        <v>621</v>
      </c>
      <c r="F150" s="2" t="s">
        <v>46</v>
      </c>
      <c r="G150" s="8" t="s">
        <v>622</v>
      </c>
      <c r="H150" s="2" t="s">
        <v>623</v>
      </c>
      <c r="I150" s="1" t="s">
        <v>116</v>
      </c>
      <c r="J150" s="1" t="s">
        <v>19</v>
      </c>
      <c r="K150" s="6" t="s">
        <v>40</v>
      </c>
      <c r="L150" s="1"/>
    </row>
    <row r="151" spans="1:12" ht="15.75" customHeight="1">
      <c r="A151" s="1" t="s">
        <v>624</v>
      </c>
      <c r="B151" s="2" t="s">
        <v>585</v>
      </c>
      <c r="C151" s="2" t="s">
        <v>558</v>
      </c>
      <c r="D151" s="2" t="s">
        <v>44</v>
      </c>
      <c r="E151" s="2" t="s">
        <v>586</v>
      </c>
      <c r="F151" s="2" t="s">
        <v>46</v>
      </c>
      <c r="G151" s="8" t="s">
        <v>587</v>
      </c>
      <c r="H151" s="2" t="s">
        <v>625</v>
      </c>
      <c r="I151" s="1" t="s">
        <v>100</v>
      </c>
      <c r="J151" s="1" t="s">
        <v>78</v>
      </c>
      <c r="K151" s="6" t="s">
        <v>40</v>
      </c>
      <c r="L151" s="1"/>
    </row>
    <row r="152" spans="1:12" ht="15.75" customHeight="1">
      <c r="A152" s="1" t="s">
        <v>626</v>
      </c>
      <c r="B152" s="2" t="s">
        <v>573</v>
      </c>
      <c r="C152" s="2" t="s">
        <v>558</v>
      </c>
      <c r="D152" s="2" t="s">
        <v>44</v>
      </c>
      <c r="E152" s="2" t="s">
        <v>574</v>
      </c>
      <c r="F152" s="2" t="s">
        <v>46</v>
      </c>
      <c r="G152" s="10" t="s">
        <v>575</v>
      </c>
      <c r="H152" s="2" t="s">
        <v>627</v>
      </c>
      <c r="I152" s="1" t="s">
        <v>100</v>
      </c>
      <c r="J152" s="1" t="s">
        <v>78</v>
      </c>
      <c r="K152" s="6" t="s">
        <v>40</v>
      </c>
      <c r="L152" s="1"/>
    </row>
    <row r="153" spans="1:12" ht="15.75" customHeight="1">
      <c r="A153" s="1" t="s">
        <v>628</v>
      </c>
      <c r="B153" s="2" t="s">
        <v>596</v>
      </c>
      <c r="C153" s="2" t="s">
        <v>558</v>
      </c>
      <c r="D153" s="2" t="s">
        <v>44</v>
      </c>
      <c r="E153" s="2" t="s">
        <v>597</v>
      </c>
      <c r="F153" s="2" t="s">
        <v>46</v>
      </c>
      <c r="G153" s="8" t="s">
        <v>598</v>
      </c>
      <c r="H153" s="2" t="s">
        <v>629</v>
      </c>
      <c r="I153" s="1" t="s">
        <v>116</v>
      </c>
      <c r="J153" s="1" t="s">
        <v>19</v>
      </c>
      <c r="K153" s="6" t="s">
        <v>40</v>
      </c>
      <c r="L153" s="1"/>
    </row>
    <row r="154" spans="1:12" ht="15.75" customHeight="1">
      <c r="A154" s="1" t="s">
        <v>630</v>
      </c>
      <c r="B154" s="2" t="s">
        <v>631</v>
      </c>
      <c r="C154" s="2" t="s">
        <v>558</v>
      </c>
      <c r="D154" s="2" t="s">
        <v>44</v>
      </c>
      <c r="E154" s="2" t="s">
        <v>632</v>
      </c>
      <c r="F154" s="2" t="s">
        <v>46</v>
      </c>
      <c r="G154" s="8" t="s">
        <v>633</v>
      </c>
      <c r="H154" s="2" t="s">
        <v>634</v>
      </c>
      <c r="I154" s="1" t="s">
        <v>116</v>
      </c>
      <c r="J154" s="1" t="s">
        <v>19</v>
      </c>
      <c r="K154" s="6" t="s">
        <v>40</v>
      </c>
      <c r="L154" s="1"/>
    </row>
    <row r="155" spans="1:12" ht="15.75" customHeight="1">
      <c r="A155" s="1" t="s">
        <v>635</v>
      </c>
      <c r="B155" s="2" t="s">
        <v>568</v>
      </c>
      <c r="C155" s="2" t="s">
        <v>558</v>
      </c>
      <c r="D155" s="2" t="s">
        <v>44</v>
      </c>
      <c r="E155" s="2" t="s">
        <v>569</v>
      </c>
      <c r="F155" s="2" t="s">
        <v>46</v>
      </c>
      <c r="G155" s="8" t="s">
        <v>570</v>
      </c>
      <c r="H155" s="2" t="s">
        <v>636</v>
      </c>
      <c r="I155" s="1" t="s">
        <v>609</v>
      </c>
      <c r="J155" s="1" t="s">
        <v>50</v>
      </c>
      <c r="K155" s="6" t="s">
        <v>40</v>
      </c>
      <c r="L155" s="1"/>
    </row>
    <row r="156" spans="1:12" ht="15.75" customHeight="1">
      <c r="A156" s="1" t="s">
        <v>637</v>
      </c>
      <c r="B156" s="2" t="s">
        <v>638</v>
      </c>
      <c r="C156" s="2" t="s">
        <v>558</v>
      </c>
      <c r="D156" s="2" t="s">
        <v>44</v>
      </c>
      <c r="E156" s="2" t="s">
        <v>639</v>
      </c>
      <c r="F156" s="2" t="s">
        <v>46</v>
      </c>
      <c r="G156" s="8" t="s">
        <v>640</v>
      </c>
      <c r="H156" s="2" t="s">
        <v>641</v>
      </c>
      <c r="I156" s="1" t="s">
        <v>116</v>
      </c>
      <c r="J156" s="1" t="s">
        <v>19</v>
      </c>
      <c r="K156" s="6" t="s">
        <v>40</v>
      </c>
      <c r="L156" s="1"/>
    </row>
    <row r="157" spans="1:12" ht="15.75" customHeight="1">
      <c r="A157" s="1" t="s">
        <v>642</v>
      </c>
      <c r="B157" s="2" t="s">
        <v>557</v>
      </c>
      <c r="C157" s="2" t="s">
        <v>558</v>
      </c>
      <c r="D157" s="2" t="s">
        <v>44</v>
      </c>
      <c r="E157" s="2" t="s">
        <v>559</v>
      </c>
      <c r="F157" s="2" t="s">
        <v>46</v>
      </c>
      <c r="G157" s="8" t="s">
        <v>560</v>
      </c>
      <c r="H157" s="2" t="s">
        <v>643</v>
      </c>
      <c r="I157" s="1" t="s">
        <v>100</v>
      </c>
      <c r="J157" s="1" t="s">
        <v>78</v>
      </c>
      <c r="K157" s="6" t="s">
        <v>40</v>
      </c>
      <c r="L157" s="1"/>
    </row>
    <row r="158" spans="1:12" ht="15.75" customHeight="1">
      <c r="A158" s="1" t="s">
        <v>644</v>
      </c>
      <c r="B158" s="2" t="s">
        <v>563</v>
      </c>
      <c r="C158" s="2" t="s">
        <v>558</v>
      </c>
      <c r="D158" s="2" t="s">
        <v>44</v>
      </c>
      <c r="E158" s="2" t="s">
        <v>564</v>
      </c>
      <c r="F158" s="2" t="s">
        <v>46</v>
      </c>
      <c r="G158" s="9" t="s">
        <v>565</v>
      </c>
      <c r="H158" s="4" t="s">
        <v>645</v>
      </c>
      <c r="I158" s="1" t="s">
        <v>100</v>
      </c>
      <c r="J158" s="1" t="s">
        <v>78</v>
      </c>
      <c r="K158" s="6" t="s">
        <v>40</v>
      </c>
      <c r="L158" s="1"/>
    </row>
    <row r="159" spans="1:12" ht="15.75" customHeight="1">
      <c r="A159" s="1" t="s">
        <v>646</v>
      </c>
      <c r="B159" s="2" t="s">
        <v>573</v>
      </c>
      <c r="C159" s="2" t="s">
        <v>558</v>
      </c>
      <c r="D159" s="2" t="s">
        <v>44</v>
      </c>
      <c r="E159" s="2" t="s">
        <v>574</v>
      </c>
      <c r="F159" s="2" t="s">
        <v>46</v>
      </c>
      <c r="G159" s="8" t="s">
        <v>575</v>
      </c>
      <c r="H159" s="2" t="s">
        <v>647</v>
      </c>
      <c r="I159" s="1" t="s">
        <v>100</v>
      </c>
      <c r="J159" s="1" t="s">
        <v>78</v>
      </c>
      <c r="K159" s="6" t="s">
        <v>40</v>
      </c>
      <c r="L159" s="1"/>
    </row>
    <row r="160" spans="1:12" ht="15.75" customHeight="1">
      <c r="A160" s="1" t="s">
        <v>648</v>
      </c>
      <c r="B160" s="2" t="s">
        <v>631</v>
      </c>
      <c r="C160" s="2" t="s">
        <v>558</v>
      </c>
      <c r="D160" s="2" t="s">
        <v>44</v>
      </c>
      <c r="E160" s="2" t="s">
        <v>632</v>
      </c>
      <c r="F160" s="2" t="s">
        <v>46</v>
      </c>
      <c r="G160" s="8" t="s">
        <v>633</v>
      </c>
      <c r="H160" s="2" t="s">
        <v>649</v>
      </c>
      <c r="I160" s="1" t="s">
        <v>143</v>
      </c>
      <c r="J160" s="1" t="s">
        <v>35</v>
      </c>
      <c r="K160" s="6" t="s">
        <v>40</v>
      </c>
      <c r="L160" s="1"/>
    </row>
    <row r="161" spans="1:12" ht="15.75" customHeight="1">
      <c r="A161" s="1" t="s">
        <v>650</v>
      </c>
      <c r="B161" s="2" t="s">
        <v>651</v>
      </c>
      <c r="C161" s="2" t="s">
        <v>652</v>
      </c>
      <c r="D161" s="2" t="s">
        <v>112</v>
      </c>
      <c r="E161" s="2" t="s">
        <v>653</v>
      </c>
      <c r="F161" s="2" t="s">
        <v>89</v>
      </c>
      <c r="G161" s="8" t="s">
        <v>654</v>
      </c>
      <c r="H161" s="2" t="s">
        <v>655</v>
      </c>
      <c r="I161" s="1" t="s">
        <v>656</v>
      </c>
      <c r="J161" s="1" t="s">
        <v>35</v>
      </c>
      <c r="K161" s="6" t="s">
        <v>40</v>
      </c>
      <c r="L161" s="1"/>
    </row>
    <row r="162" spans="1:12" ht="15.75" customHeight="1">
      <c r="A162" s="1" t="s">
        <v>657</v>
      </c>
      <c r="B162" s="2" t="s">
        <v>651</v>
      </c>
      <c r="C162" s="2" t="s">
        <v>652</v>
      </c>
      <c r="D162" s="2" t="s">
        <v>112</v>
      </c>
      <c r="E162" s="2" t="s">
        <v>653</v>
      </c>
      <c r="F162" s="2" t="s">
        <v>89</v>
      </c>
      <c r="G162" s="8" t="s">
        <v>654</v>
      </c>
      <c r="H162" s="2" t="s">
        <v>658</v>
      </c>
      <c r="I162" s="1" t="s">
        <v>656</v>
      </c>
      <c r="J162" s="1" t="s">
        <v>35</v>
      </c>
      <c r="K162" s="6" t="s">
        <v>40</v>
      </c>
      <c r="L162" s="1"/>
    </row>
    <row r="163" spans="1:12" ht="15.75" customHeight="1">
      <c r="A163" s="1" t="s">
        <v>659</v>
      </c>
      <c r="B163" s="2" t="s">
        <v>660</v>
      </c>
      <c r="C163" s="2" t="s">
        <v>652</v>
      </c>
      <c r="D163" s="2" t="s">
        <v>112</v>
      </c>
      <c r="E163" s="2" t="s">
        <v>661</v>
      </c>
      <c r="F163" s="2" t="s">
        <v>264</v>
      </c>
      <c r="G163" s="8" t="s">
        <v>662</v>
      </c>
      <c r="H163" s="2" t="s">
        <v>663</v>
      </c>
      <c r="I163" s="1" t="s">
        <v>664</v>
      </c>
      <c r="J163" s="1" t="s">
        <v>28</v>
      </c>
      <c r="K163" s="6" t="s">
        <v>40</v>
      </c>
      <c r="L163" s="1"/>
    </row>
    <row r="164" spans="1:12" ht="15.75" customHeight="1">
      <c r="A164" s="1" t="s">
        <v>665</v>
      </c>
      <c r="B164" s="2" t="s">
        <v>666</v>
      </c>
      <c r="C164" s="2" t="s">
        <v>667</v>
      </c>
      <c r="D164" s="2" t="s">
        <v>342</v>
      </c>
      <c r="E164" s="2" t="s">
        <v>668</v>
      </c>
      <c r="F164" s="2" t="s">
        <v>46</v>
      </c>
      <c r="G164" s="8" t="s">
        <v>669</v>
      </c>
      <c r="H164" s="2" t="s">
        <v>670</v>
      </c>
      <c r="I164" s="1" t="s">
        <v>34</v>
      </c>
      <c r="J164" s="1" t="s">
        <v>35</v>
      </c>
      <c r="K164" s="6" t="s">
        <v>40</v>
      </c>
      <c r="L164" s="1"/>
    </row>
    <row r="165" spans="1:12" ht="15.75" customHeight="1">
      <c r="A165" s="1" t="s">
        <v>671</v>
      </c>
      <c r="B165" s="2" t="s">
        <v>672</v>
      </c>
      <c r="C165" s="2" t="s">
        <v>667</v>
      </c>
      <c r="D165" s="2" t="s">
        <v>342</v>
      </c>
      <c r="E165" s="2" t="s">
        <v>673</v>
      </c>
      <c r="F165" s="2" t="s">
        <v>24</v>
      </c>
      <c r="G165" s="8" t="s">
        <v>674</v>
      </c>
      <c r="H165" s="2" t="s">
        <v>675</v>
      </c>
      <c r="I165" s="1" t="s">
        <v>351</v>
      </c>
      <c r="J165" s="1" t="s">
        <v>28</v>
      </c>
      <c r="K165" s="6" t="s">
        <v>40</v>
      </c>
      <c r="L165" s="1"/>
    </row>
    <row r="166" spans="1:12" ht="15.75" customHeight="1">
      <c r="A166" s="1" t="s">
        <v>676</v>
      </c>
      <c r="B166" s="2" t="s">
        <v>672</v>
      </c>
      <c r="C166" s="2" t="s">
        <v>667</v>
      </c>
      <c r="D166" s="2" t="s">
        <v>342</v>
      </c>
      <c r="E166" s="2" t="s">
        <v>673</v>
      </c>
      <c r="F166" s="2" t="s">
        <v>24</v>
      </c>
      <c r="G166" s="8" t="s">
        <v>674</v>
      </c>
      <c r="H166" s="2" t="s">
        <v>677</v>
      </c>
      <c r="I166" s="1" t="s">
        <v>678</v>
      </c>
      <c r="J166" s="1" t="s">
        <v>679</v>
      </c>
      <c r="K166" s="6" t="s">
        <v>40</v>
      </c>
      <c r="L166" s="1"/>
    </row>
    <row r="167" spans="1:12" ht="15.75" customHeight="1">
      <c r="A167" s="1" t="s">
        <v>680</v>
      </c>
      <c r="B167" s="2" t="s">
        <v>681</v>
      </c>
      <c r="C167" s="2" t="s">
        <v>682</v>
      </c>
      <c r="D167" s="2" t="s">
        <v>683</v>
      </c>
      <c r="E167" s="2" t="s">
        <v>684</v>
      </c>
      <c r="F167" s="2" t="s">
        <v>24</v>
      </c>
      <c r="G167" s="8" t="s">
        <v>685</v>
      </c>
      <c r="H167" s="4" t="s">
        <v>686</v>
      </c>
      <c r="I167" s="1" t="s">
        <v>18</v>
      </c>
      <c r="J167" s="1" t="s">
        <v>19</v>
      </c>
      <c r="K167" s="6" t="s">
        <v>40</v>
      </c>
      <c r="L167" s="1"/>
    </row>
    <row r="168" spans="1:12" ht="15.75" customHeight="1">
      <c r="A168" s="1" t="s">
        <v>687</v>
      </c>
      <c r="B168" s="2" t="s">
        <v>681</v>
      </c>
      <c r="C168" s="2" t="s">
        <v>682</v>
      </c>
      <c r="D168" s="2" t="s">
        <v>683</v>
      </c>
      <c r="E168" s="2" t="s">
        <v>684</v>
      </c>
      <c r="F168" s="2" t="s">
        <v>24</v>
      </c>
      <c r="G168" s="8" t="s">
        <v>685</v>
      </c>
      <c r="H168" s="2" t="s">
        <v>688</v>
      </c>
      <c r="I168" s="1" t="s">
        <v>160</v>
      </c>
      <c r="J168" s="1" t="s">
        <v>78</v>
      </c>
      <c r="K168" s="6" t="s">
        <v>40</v>
      </c>
      <c r="L168" s="1"/>
    </row>
    <row r="169" spans="1:12" ht="15.75" customHeight="1">
      <c r="A169" s="1" t="s">
        <v>689</v>
      </c>
      <c r="B169" s="2" t="s">
        <v>681</v>
      </c>
      <c r="C169" s="2" t="s">
        <v>682</v>
      </c>
      <c r="D169" s="2" t="s">
        <v>683</v>
      </c>
      <c r="E169" s="2" t="s">
        <v>684</v>
      </c>
      <c r="F169" s="2" t="s">
        <v>24</v>
      </c>
      <c r="G169" s="8" t="s">
        <v>685</v>
      </c>
      <c r="H169" s="4" t="s">
        <v>690</v>
      </c>
      <c r="I169" s="1" t="s">
        <v>34</v>
      </c>
      <c r="J169" s="1" t="s">
        <v>35</v>
      </c>
      <c r="K169" s="6" t="s">
        <v>40</v>
      </c>
      <c r="L169" s="1"/>
    </row>
    <row r="170" spans="1:12" ht="15.75" customHeight="1">
      <c r="A170" s="1" t="s">
        <v>691</v>
      </c>
      <c r="B170" s="2" t="s">
        <v>681</v>
      </c>
      <c r="C170" s="2" t="s">
        <v>682</v>
      </c>
      <c r="D170" s="2" t="s">
        <v>683</v>
      </c>
      <c r="E170" s="2" t="s">
        <v>684</v>
      </c>
      <c r="F170" s="2" t="s">
        <v>24</v>
      </c>
      <c r="G170" s="8" t="s">
        <v>685</v>
      </c>
      <c r="H170" s="2" t="s">
        <v>692</v>
      </c>
      <c r="I170" s="1" t="s">
        <v>18</v>
      </c>
      <c r="J170" s="1" t="s">
        <v>19</v>
      </c>
      <c r="K170" s="6" t="s">
        <v>40</v>
      </c>
      <c r="L170" s="1"/>
    </row>
    <row r="171" spans="1:12" ht="15.75" customHeight="1">
      <c r="A171" s="1" t="s">
        <v>693</v>
      </c>
      <c r="B171" s="2" t="s">
        <v>681</v>
      </c>
      <c r="C171" s="2" t="s">
        <v>682</v>
      </c>
      <c r="D171" s="2" t="s">
        <v>683</v>
      </c>
      <c r="E171" s="2" t="s">
        <v>684</v>
      </c>
      <c r="F171" s="2" t="s">
        <v>24</v>
      </c>
      <c r="G171" s="8" t="s">
        <v>685</v>
      </c>
      <c r="H171" s="2" t="s">
        <v>694</v>
      </c>
      <c r="I171" s="1" t="s">
        <v>160</v>
      </c>
      <c r="J171" s="1" t="s">
        <v>78</v>
      </c>
      <c r="K171" s="6" t="s">
        <v>40</v>
      </c>
      <c r="L171" s="1"/>
    </row>
    <row r="172" spans="1:12" ht="15.75" customHeight="1">
      <c r="A172" s="1" t="s">
        <v>695</v>
      </c>
      <c r="B172" s="2" t="s">
        <v>696</v>
      </c>
      <c r="C172" s="2" t="s">
        <v>697</v>
      </c>
      <c r="D172" s="2" t="s">
        <v>698</v>
      </c>
      <c r="E172" s="2" t="s">
        <v>699</v>
      </c>
      <c r="F172" s="2" t="s">
        <v>89</v>
      </c>
      <c r="G172" s="8" t="s">
        <v>700</v>
      </c>
      <c r="H172" s="2" t="s">
        <v>701</v>
      </c>
      <c r="I172" s="1" t="s">
        <v>702</v>
      </c>
      <c r="J172" s="1" t="s">
        <v>50</v>
      </c>
      <c r="K172" s="6" t="s">
        <v>40</v>
      </c>
      <c r="L172" s="1"/>
    </row>
    <row r="173" spans="1:12" ht="15.75" customHeight="1">
      <c r="A173" s="1" t="s">
        <v>703</v>
      </c>
      <c r="B173" s="2" t="s">
        <v>704</v>
      </c>
      <c r="C173" s="2" t="s">
        <v>697</v>
      </c>
      <c r="D173" s="2" t="s">
        <v>698</v>
      </c>
      <c r="E173" s="2" t="s">
        <v>705</v>
      </c>
      <c r="F173" s="2" t="s">
        <v>15</v>
      </c>
      <c r="G173" s="8" t="s">
        <v>706</v>
      </c>
      <c r="H173" s="2" t="s">
        <v>707</v>
      </c>
      <c r="I173" s="1" t="s">
        <v>708</v>
      </c>
      <c r="J173" s="1" t="s">
        <v>35</v>
      </c>
      <c r="K173" s="6" t="s">
        <v>40</v>
      </c>
      <c r="L173" s="1"/>
    </row>
    <row r="174" spans="1:12" ht="15.75" customHeight="1">
      <c r="A174" s="1" t="s">
        <v>709</v>
      </c>
      <c r="B174" s="2" t="s">
        <v>710</v>
      </c>
      <c r="C174" s="2" t="s">
        <v>697</v>
      </c>
      <c r="D174" s="2" t="s">
        <v>698</v>
      </c>
      <c r="E174" s="2" t="s">
        <v>711</v>
      </c>
      <c r="F174" s="2" t="s">
        <v>126</v>
      </c>
      <c r="G174" s="8" t="s">
        <v>712</v>
      </c>
      <c r="H174" s="2" t="s">
        <v>713</v>
      </c>
      <c r="I174" s="1" t="s">
        <v>714</v>
      </c>
      <c r="J174" s="1" t="s">
        <v>28</v>
      </c>
      <c r="K174" s="6" t="s">
        <v>40</v>
      </c>
      <c r="L174" s="1"/>
    </row>
    <row r="175" spans="1:12" ht="15.75" customHeight="1">
      <c r="A175" s="1" t="s">
        <v>715</v>
      </c>
      <c r="B175" s="2" t="s">
        <v>716</v>
      </c>
      <c r="C175" s="2" t="s">
        <v>697</v>
      </c>
      <c r="D175" s="2" t="s">
        <v>698</v>
      </c>
      <c r="E175" s="2" t="s">
        <v>717</v>
      </c>
      <c r="F175" s="2" t="s">
        <v>120</v>
      </c>
      <c r="G175" s="10" t="s">
        <v>718</v>
      </c>
      <c r="H175" s="2" t="s">
        <v>719</v>
      </c>
      <c r="I175" s="1" t="s">
        <v>702</v>
      </c>
      <c r="J175" s="1" t="s">
        <v>50</v>
      </c>
      <c r="K175" s="6" t="s">
        <v>40</v>
      </c>
      <c r="L175" s="1"/>
    </row>
    <row r="176" spans="1:12" ht="15.75" customHeight="1">
      <c r="A176" s="1" t="s">
        <v>720</v>
      </c>
      <c r="B176" s="2" t="s">
        <v>716</v>
      </c>
      <c r="C176" s="2" t="s">
        <v>697</v>
      </c>
      <c r="D176" s="2" t="s">
        <v>698</v>
      </c>
      <c r="E176" s="2" t="s">
        <v>717</v>
      </c>
      <c r="F176" s="2" t="s">
        <v>120</v>
      </c>
      <c r="G176" s="8" t="s">
        <v>718</v>
      </c>
      <c r="H176" s="2" t="s">
        <v>721</v>
      </c>
      <c r="I176" s="1" t="s">
        <v>100</v>
      </c>
      <c r="J176" s="1" t="s">
        <v>78</v>
      </c>
      <c r="K176" s="6" t="s">
        <v>40</v>
      </c>
      <c r="L176" s="1"/>
    </row>
    <row r="177" spans="1:12" ht="15.75" customHeight="1">
      <c r="A177" s="1" t="s">
        <v>722</v>
      </c>
      <c r="B177" s="2" t="s">
        <v>723</v>
      </c>
      <c r="C177" s="2" t="s">
        <v>697</v>
      </c>
      <c r="D177" s="2" t="s">
        <v>698</v>
      </c>
      <c r="E177" s="2" t="s">
        <v>724</v>
      </c>
      <c r="F177" s="2" t="s">
        <v>140</v>
      </c>
      <c r="G177" s="8" t="s">
        <v>725</v>
      </c>
      <c r="H177" s="2" t="s">
        <v>726</v>
      </c>
      <c r="I177" s="1" t="s">
        <v>714</v>
      </c>
      <c r="J177" s="1" t="s">
        <v>28</v>
      </c>
      <c r="K177" s="6" t="s">
        <v>40</v>
      </c>
      <c r="L177" s="1"/>
    </row>
    <row r="178" spans="1:12" ht="15.75" customHeight="1">
      <c r="A178" s="1" t="s">
        <v>727</v>
      </c>
      <c r="B178" s="2" t="s">
        <v>728</v>
      </c>
      <c r="C178" s="2" t="s">
        <v>697</v>
      </c>
      <c r="D178" s="2" t="s">
        <v>698</v>
      </c>
      <c r="E178" s="2" t="s">
        <v>729</v>
      </c>
      <c r="F178" s="2" t="s">
        <v>24</v>
      </c>
      <c r="G178" s="8" t="s">
        <v>730</v>
      </c>
      <c r="H178" s="2" t="s">
        <v>731</v>
      </c>
      <c r="I178" s="1" t="s">
        <v>708</v>
      </c>
      <c r="J178" s="1" t="s">
        <v>35</v>
      </c>
      <c r="K178" s="6" t="s">
        <v>40</v>
      </c>
      <c r="L178" s="1"/>
    </row>
    <row r="179" spans="1:12" ht="15.75" customHeight="1">
      <c r="A179" s="1" t="s">
        <v>732</v>
      </c>
      <c r="B179" s="2" t="s">
        <v>733</v>
      </c>
      <c r="C179" s="2" t="s">
        <v>697</v>
      </c>
      <c r="D179" s="2" t="s">
        <v>698</v>
      </c>
      <c r="E179" s="2" t="s">
        <v>734</v>
      </c>
      <c r="F179" s="2" t="s">
        <v>120</v>
      </c>
      <c r="G179" s="8" t="s">
        <v>735</v>
      </c>
      <c r="H179" s="2" t="s">
        <v>736</v>
      </c>
      <c r="I179" s="1" t="s">
        <v>714</v>
      </c>
      <c r="J179" s="1" t="s">
        <v>28</v>
      </c>
      <c r="K179" s="6" t="s">
        <v>40</v>
      </c>
      <c r="L179" s="1"/>
    </row>
    <row r="180" spans="1:12" ht="15.75" customHeight="1">
      <c r="A180" s="1" t="s">
        <v>737</v>
      </c>
      <c r="B180" s="2" t="s">
        <v>716</v>
      </c>
      <c r="C180" s="2" t="s">
        <v>697</v>
      </c>
      <c r="D180" s="2" t="s">
        <v>698</v>
      </c>
      <c r="E180" s="2" t="s">
        <v>717</v>
      </c>
      <c r="F180" s="2" t="s">
        <v>120</v>
      </c>
      <c r="G180" s="8" t="s">
        <v>718</v>
      </c>
      <c r="H180" s="2" t="s">
        <v>738</v>
      </c>
      <c r="I180" s="1" t="s">
        <v>702</v>
      </c>
      <c r="J180" s="1" t="s">
        <v>50</v>
      </c>
      <c r="K180" s="6" t="s">
        <v>40</v>
      </c>
      <c r="L180" s="1"/>
    </row>
    <row r="181" spans="1:12" ht="15.75" customHeight="1">
      <c r="A181" s="1" t="s">
        <v>739</v>
      </c>
      <c r="B181" s="2" t="s">
        <v>716</v>
      </c>
      <c r="C181" s="2" t="s">
        <v>697</v>
      </c>
      <c r="D181" s="2" t="s">
        <v>698</v>
      </c>
      <c r="E181" s="2" t="s">
        <v>717</v>
      </c>
      <c r="F181" s="2" t="s">
        <v>120</v>
      </c>
      <c r="G181" s="8" t="s">
        <v>718</v>
      </c>
      <c r="H181" s="2" t="s">
        <v>740</v>
      </c>
      <c r="I181" s="1" t="s">
        <v>702</v>
      </c>
      <c r="J181" s="1" t="s">
        <v>50</v>
      </c>
      <c r="K181" s="6" t="s">
        <v>40</v>
      </c>
      <c r="L181" s="1"/>
    </row>
    <row r="182" spans="1:12" ht="15.75" customHeight="1">
      <c r="A182" s="1" t="s">
        <v>741</v>
      </c>
      <c r="B182" s="2" t="s">
        <v>742</v>
      </c>
      <c r="C182" s="2" t="s">
        <v>697</v>
      </c>
      <c r="D182" s="2" t="s">
        <v>698</v>
      </c>
      <c r="E182" s="2" t="s">
        <v>743</v>
      </c>
      <c r="F182" s="2" t="s">
        <v>126</v>
      </c>
      <c r="G182" s="8" t="s">
        <v>744</v>
      </c>
      <c r="H182" s="2" t="s">
        <v>745</v>
      </c>
      <c r="I182" s="1" t="s">
        <v>702</v>
      </c>
      <c r="J182" s="1" t="s">
        <v>50</v>
      </c>
      <c r="K182" s="6" t="s">
        <v>40</v>
      </c>
      <c r="L182" s="1"/>
    </row>
    <row r="183" spans="1:12" ht="15.75" customHeight="1">
      <c r="A183" s="1" t="s">
        <v>746</v>
      </c>
      <c r="B183" s="2" t="s">
        <v>716</v>
      </c>
      <c r="C183" s="2" t="s">
        <v>697</v>
      </c>
      <c r="D183" s="2" t="s">
        <v>698</v>
      </c>
      <c r="E183" s="2" t="s">
        <v>717</v>
      </c>
      <c r="F183" s="2" t="s">
        <v>120</v>
      </c>
      <c r="G183" s="8" t="s">
        <v>718</v>
      </c>
      <c r="H183" s="2" t="s">
        <v>747</v>
      </c>
      <c r="I183" s="1" t="s">
        <v>708</v>
      </c>
      <c r="J183" s="1" t="s">
        <v>35</v>
      </c>
      <c r="K183" s="6" t="s">
        <v>40</v>
      </c>
      <c r="L183" s="1"/>
    </row>
    <row r="184" spans="1:12" ht="15.75" customHeight="1">
      <c r="A184" s="1" t="s">
        <v>748</v>
      </c>
      <c r="B184" s="2" t="s">
        <v>749</v>
      </c>
      <c r="C184" s="2" t="s">
        <v>697</v>
      </c>
      <c r="D184" s="2" t="s">
        <v>698</v>
      </c>
      <c r="E184" s="2" t="s">
        <v>750</v>
      </c>
      <c r="F184" s="2" t="s">
        <v>157</v>
      </c>
      <c r="G184" s="8" t="s">
        <v>751</v>
      </c>
      <c r="H184" s="2" t="s">
        <v>752</v>
      </c>
      <c r="I184" s="1" t="s">
        <v>714</v>
      </c>
      <c r="J184" s="1" t="s">
        <v>28</v>
      </c>
      <c r="K184" s="6" t="s">
        <v>40</v>
      </c>
      <c r="L184" s="1"/>
    </row>
    <row r="185" spans="1:12" ht="15.75" customHeight="1">
      <c r="A185" s="1" t="s">
        <v>753</v>
      </c>
      <c r="B185" s="2" t="s">
        <v>754</v>
      </c>
      <c r="C185" s="2" t="s">
        <v>697</v>
      </c>
      <c r="D185" s="2" t="s">
        <v>698</v>
      </c>
      <c r="E185" s="2" t="s">
        <v>755</v>
      </c>
      <c r="F185" s="2" t="s">
        <v>61</v>
      </c>
      <c r="G185" s="8" t="s">
        <v>756</v>
      </c>
      <c r="H185" s="2" t="s">
        <v>757</v>
      </c>
      <c r="I185" s="1" t="s">
        <v>708</v>
      </c>
      <c r="J185" s="1" t="s">
        <v>35</v>
      </c>
      <c r="K185" s="6" t="s">
        <v>40</v>
      </c>
      <c r="L185" s="1"/>
    </row>
    <row r="186" spans="1:12" ht="15.75" customHeight="1">
      <c r="A186" s="1" t="s">
        <v>758</v>
      </c>
      <c r="B186" s="2" t="s">
        <v>759</v>
      </c>
      <c r="C186" s="2" t="s">
        <v>697</v>
      </c>
      <c r="D186" s="2" t="s">
        <v>698</v>
      </c>
      <c r="E186" s="2" t="s">
        <v>760</v>
      </c>
      <c r="F186" s="2" t="s">
        <v>46</v>
      </c>
      <c r="G186" s="8" t="s">
        <v>761</v>
      </c>
      <c r="H186" s="2" t="s">
        <v>762</v>
      </c>
      <c r="I186" s="1" t="s">
        <v>702</v>
      </c>
      <c r="J186" s="1" t="s">
        <v>50</v>
      </c>
      <c r="K186" s="6" t="s">
        <v>40</v>
      </c>
      <c r="L186" s="1"/>
    </row>
    <row r="187" spans="1:12" ht="15.75" customHeight="1">
      <c r="A187" s="1" t="s">
        <v>763</v>
      </c>
      <c r="B187" s="2" t="s">
        <v>742</v>
      </c>
      <c r="C187" s="2" t="s">
        <v>697</v>
      </c>
      <c r="D187" s="2" t="s">
        <v>698</v>
      </c>
      <c r="E187" s="2" t="s">
        <v>743</v>
      </c>
      <c r="F187" s="2" t="s">
        <v>126</v>
      </c>
      <c r="G187" s="8" t="s">
        <v>744</v>
      </c>
      <c r="H187" s="2" t="s">
        <v>764</v>
      </c>
      <c r="I187" s="1" t="s">
        <v>708</v>
      </c>
      <c r="J187" s="1" t="s">
        <v>35</v>
      </c>
      <c r="K187" s="6" t="s">
        <v>40</v>
      </c>
      <c r="L187" s="1"/>
    </row>
    <row r="188" spans="1:12" ht="15.75" customHeight="1">
      <c r="A188" s="1" t="s">
        <v>765</v>
      </c>
      <c r="B188" s="2" t="s">
        <v>733</v>
      </c>
      <c r="C188" s="2" t="s">
        <v>697</v>
      </c>
      <c r="D188" s="2" t="s">
        <v>698</v>
      </c>
      <c r="E188" s="2" t="s">
        <v>734</v>
      </c>
      <c r="F188" s="2" t="s">
        <v>120</v>
      </c>
      <c r="G188" s="8" t="s">
        <v>735</v>
      </c>
      <c r="H188" s="4" t="s">
        <v>766</v>
      </c>
      <c r="I188" s="1" t="s">
        <v>708</v>
      </c>
      <c r="J188" s="1" t="s">
        <v>35</v>
      </c>
      <c r="K188" s="6" t="s">
        <v>40</v>
      </c>
      <c r="L188" s="1"/>
    </row>
    <row r="189" spans="1:12" ht="15.75" customHeight="1">
      <c r="A189" s="1" t="s">
        <v>767</v>
      </c>
      <c r="B189" s="2" t="s">
        <v>704</v>
      </c>
      <c r="C189" s="2" t="s">
        <v>697</v>
      </c>
      <c r="D189" s="2" t="s">
        <v>698</v>
      </c>
      <c r="E189" s="2" t="s">
        <v>705</v>
      </c>
      <c r="F189" s="2" t="s">
        <v>15</v>
      </c>
      <c r="G189" s="8" t="s">
        <v>706</v>
      </c>
      <c r="H189" s="2" t="s">
        <v>768</v>
      </c>
      <c r="I189" s="1" t="s">
        <v>708</v>
      </c>
      <c r="J189" s="1" t="s">
        <v>35</v>
      </c>
      <c r="K189" s="6" t="s">
        <v>40</v>
      </c>
      <c r="L189" s="1"/>
    </row>
    <row r="190" spans="1:12" ht="15.75" customHeight="1">
      <c r="A190" s="1" t="s">
        <v>769</v>
      </c>
      <c r="B190" s="2" t="s">
        <v>733</v>
      </c>
      <c r="C190" s="2" t="s">
        <v>697</v>
      </c>
      <c r="D190" s="2" t="s">
        <v>698</v>
      </c>
      <c r="E190" s="2" t="s">
        <v>734</v>
      </c>
      <c r="F190" s="2" t="s">
        <v>120</v>
      </c>
      <c r="G190" s="8" t="s">
        <v>735</v>
      </c>
      <c r="H190" s="2" t="s">
        <v>770</v>
      </c>
      <c r="I190" s="1" t="s">
        <v>708</v>
      </c>
      <c r="J190" s="1" t="s">
        <v>35</v>
      </c>
      <c r="K190" s="6" t="s">
        <v>40</v>
      </c>
      <c r="L190" s="1"/>
    </row>
    <row r="191" spans="1:12" ht="15.75" customHeight="1">
      <c r="A191" s="1" t="s">
        <v>771</v>
      </c>
      <c r="B191" s="2" t="s">
        <v>759</v>
      </c>
      <c r="C191" s="2" t="s">
        <v>697</v>
      </c>
      <c r="D191" s="2" t="s">
        <v>698</v>
      </c>
      <c r="E191" s="2" t="s">
        <v>760</v>
      </c>
      <c r="F191" s="2" t="s">
        <v>46</v>
      </c>
      <c r="G191" s="8" t="s">
        <v>761</v>
      </c>
      <c r="H191" s="2" t="s">
        <v>772</v>
      </c>
      <c r="I191" s="1" t="s">
        <v>714</v>
      </c>
      <c r="J191" s="1" t="s">
        <v>28</v>
      </c>
      <c r="K191" s="6" t="s">
        <v>40</v>
      </c>
      <c r="L191" s="1"/>
    </row>
    <row r="192" spans="1:12" ht="15.75" customHeight="1">
      <c r="A192" s="1" t="s">
        <v>773</v>
      </c>
      <c r="B192" s="2" t="s">
        <v>774</v>
      </c>
      <c r="C192" s="2" t="s">
        <v>697</v>
      </c>
      <c r="D192" s="2" t="s">
        <v>698</v>
      </c>
      <c r="E192" s="2" t="s">
        <v>775</v>
      </c>
      <c r="F192" s="2" t="s">
        <v>24</v>
      </c>
      <c r="G192" s="8" t="s">
        <v>776</v>
      </c>
      <c r="H192" s="2" t="s">
        <v>777</v>
      </c>
      <c r="I192" s="1" t="s">
        <v>100</v>
      </c>
      <c r="J192" s="1" t="s">
        <v>78</v>
      </c>
      <c r="K192" s="6" t="s">
        <v>40</v>
      </c>
      <c r="L192" s="1"/>
    </row>
    <row r="193" spans="1:12" ht="15.75" customHeight="1">
      <c r="A193" s="1" t="s">
        <v>778</v>
      </c>
      <c r="B193" s="2" t="s">
        <v>710</v>
      </c>
      <c r="C193" s="2" t="s">
        <v>697</v>
      </c>
      <c r="D193" s="2" t="s">
        <v>698</v>
      </c>
      <c r="E193" s="2" t="s">
        <v>711</v>
      </c>
      <c r="F193" s="2" t="s">
        <v>126</v>
      </c>
      <c r="G193" s="8" t="s">
        <v>712</v>
      </c>
      <c r="H193" s="2" t="s">
        <v>779</v>
      </c>
      <c r="I193" s="1" t="s">
        <v>714</v>
      </c>
      <c r="J193" s="1" t="s">
        <v>28</v>
      </c>
      <c r="K193" s="6" t="s">
        <v>40</v>
      </c>
      <c r="L193" s="1"/>
    </row>
    <row r="194" spans="1:12" ht="15.75" customHeight="1">
      <c r="A194" s="1" t="s">
        <v>780</v>
      </c>
      <c r="B194" s="2" t="s">
        <v>759</v>
      </c>
      <c r="C194" s="2" t="s">
        <v>697</v>
      </c>
      <c r="D194" s="2" t="s">
        <v>698</v>
      </c>
      <c r="E194" s="2" t="s">
        <v>760</v>
      </c>
      <c r="F194" s="2" t="s">
        <v>46</v>
      </c>
      <c r="G194" s="8" t="s">
        <v>761</v>
      </c>
      <c r="H194" s="2" t="s">
        <v>781</v>
      </c>
      <c r="I194" s="1" t="s">
        <v>714</v>
      </c>
      <c r="J194" s="1" t="s">
        <v>28</v>
      </c>
      <c r="K194" s="6" t="s">
        <v>40</v>
      </c>
      <c r="L194" s="1"/>
    </row>
    <row r="195" spans="1:12" ht="15.75" customHeight="1">
      <c r="A195" s="1" t="s">
        <v>782</v>
      </c>
      <c r="B195" s="2" t="s">
        <v>783</v>
      </c>
      <c r="C195" s="2" t="s">
        <v>697</v>
      </c>
      <c r="D195" s="2" t="s">
        <v>698</v>
      </c>
      <c r="E195" s="2" t="s">
        <v>784</v>
      </c>
      <c r="F195" s="2" t="s">
        <v>89</v>
      </c>
      <c r="G195" s="8" t="s">
        <v>785</v>
      </c>
      <c r="H195" s="4" t="s">
        <v>786</v>
      </c>
      <c r="I195" s="1" t="s">
        <v>708</v>
      </c>
      <c r="J195" s="1" t="s">
        <v>35</v>
      </c>
      <c r="K195" s="6" t="s">
        <v>40</v>
      </c>
      <c r="L195" s="1"/>
    </row>
    <row r="196" spans="1:12" ht="15.75" customHeight="1">
      <c r="A196" s="1" t="s">
        <v>787</v>
      </c>
      <c r="B196" s="2" t="s">
        <v>723</v>
      </c>
      <c r="C196" s="2" t="s">
        <v>697</v>
      </c>
      <c r="D196" s="2" t="s">
        <v>698</v>
      </c>
      <c r="E196" s="2" t="s">
        <v>724</v>
      </c>
      <c r="F196" s="2" t="s">
        <v>140</v>
      </c>
      <c r="G196" s="8" t="s">
        <v>725</v>
      </c>
      <c r="H196" s="2" t="s">
        <v>788</v>
      </c>
      <c r="I196" s="1" t="s">
        <v>708</v>
      </c>
      <c r="J196" s="1" t="s">
        <v>35</v>
      </c>
      <c r="K196" s="6" t="s">
        <v>40</v>
      </c>
      <c r="L196" s="1"/>
    </row>
    <row r="197" spans="1:12" ht="15.75" customHeight="1">
      <c r="A197" s="1" t="s">
        <v>789</v>
      </c>
      <c r="B197" s="2" t="s">
        <v>790</v>
      </c>
      <c r="C197" s="2" t="s">
        <v>697</v>
      </c>
      <c r="D197" s="2" t="s">
        <v>698</v>
      </c>
      <c r="E197" s="2" t="s">
        <v>791</v>
      </c>
      <c r="F197" s="2" t="s">
        <v>330</v>
      </c>
      <c r="G197" s="8" t="s">
        <v>792</v>
      </c>
      <c r="H197" s="2" t="s">
        <v>793</v>
      </c>
      <c r="I197" s="1" t="s">
        <v>714</v>
      </c>
      <c r="J197" s="1" t="s">
        <v>28</v>
      </c>
      <c r="K197" s="6" t="s">
        <v>40</v>
      </c>
      <c r="L197" s="1"/>
    </row>
    <row r="198" spans="1:12" ht="15.75" customHeight="1">
      <c r="A198" s="1" t="s">
        <v>794</v>
      </c>
      <c r="B198" s="2" t="s">
        <v>704</v>
      </c>
      <c r="C198" s="2" t="s">
        <v>697</v>
      </c>
      <c r="D198" s="2" t="s">
        <v>698</v>
      </c>
      <c r="E198" s="2" t="s">
        <v>705</v>
      </c>
      <c r="F198" s="2" t="s">
        <v>15</v>
      </c>
      <c r="G198" s="8" t="s">
        <v>706</v>
      </c>
      <c r="H198" s="2" t="s">
        <v>795</v>
      </c>
      <c r="I198" s="1" t="s">
        <v>708</v>
      </c>
      <c r="J198" s="1" t="s">
        <v>35</v>
      </c>
      <c r="K198" s="6" t="s">
        <v>40</v>
      </c>
      <c r="L198" s="1"/>
    </row>
    <row r="199" spans="1:12" ht="15.75" customHeight="1">
      <c r="A199" s="1" t="s">
        <v>796</v>
      </c>
      <c r="B199" s="2" t="s">
        <v>783</v>
      </c>
      <c r="C199" s="2" t="s">
        <v>697</v>
      </c>
      <c r="D199" s="2" t="s">
        <v>698</v>
      </c>
      <c r="E199" s="2" t="s">
        <v>784</v>
      </c>
      <c r="F199" s="2" t="s">
        <v>89</v>
      </c>
      <c r="G199" s="8" t="s">
        <v>785</v>
      </c>
      <c r="H199" s="2" t="s">
        <v>797</v>
      </c>
      <c r="I199" s="1" t="s">
        <v>798</v>
      </c>
      <c r="J199" s="1" t="s">
        <v>19</v>
      </c>
      <c r="K199" s="6" t="s">
        <v>40</v>
      </c>
      <c r="L199" s="1"/>
    </row>
    <row r="200" spans="1:12" ht="15.75" customHeight="1">
      <c r="A200" s="1" t="s">
        <v>799</v>
      </c>
      <c r="B200" s="2" t="s">
        <v>800</v>
      </c>
      <c r="C200" s="2" t="s">
        <v>697</v>
      </c>
      <c r="D200" s="2" t="s">
        <v>698</v>
      </c>
      <c r="E200" s="2" t="s">
        <v>801</v>
      </c>
      <c r="F200" s="2" t="s">
        <v>46</v>
      </c>
      <c r="G200" s="8" t="s">
        <v>802</v>
      </c>
      <c r="H200" s="2" t="s">
        <v>803</v>
      </c>
      <c r="I200" s="1" t="s">
        <v>702</v>
      </c>
      <c r="J200" s="1" t="s">
        <v>50</v>
      </c>
      <c r="K200" s="6" t="s">
        <v>40</v>
      </c>
      <c r="L200" s="1"/>
    </row>
    <row r="201" spans="1:12" ht="15.75" customHeight="1">
      <c r="A201" s="1" t="s">
        <v>804</v>
      </c>
      <c r="B201" s="2" t="s">
        <v>723</v>
      </c>
      <c r="C201" s="2" t="s">
        <v>697</v>
      </c>
      <c r="D201" s="2" t="s">
        <v>698</v>
      </c>
      <c r="E201" s="2" t="s">
        <v>724</v>
      </c>
      <c r="F201" s="2" t="s">
        <v>140</v>
      </c>
      <c r="G201" s="8" t="s">
        <v>725</v>
      </c>
      <c r="H201" s="2" t="s">
        <v>805</v>
      </c>
      <c r="I201" s="1" t="s">
        <v>714</v>
      </c>
      <c r="J201" s="1" t="s">
        <v>28</v>
      </c>
      <c r="K201" s="6" t="s">
        <v>40</v>
      </c>
      <c r="L201" s="1"/>
    </row>
    <row r="202" spans="1:12" ht="15.75" customHeight="1">
      <c r="A202" s="1" t="s">
        <v>806</v>
      </c>
      <c r="B202" s="2" t="s">
        <v>774</v>
      </c>
      <c r="C202" s="2" t="s">
        <v>697</v>
      </c>
      <c r="D202" s="2" t="s">
        <v>698</v>
      </c>
      <c r="E202" s="2" t="s">
        <v>775</v>
      </c>
      <c r="F202" s="2" t="s">
        <v>24</v>
      </c>
      <c r="G202" s="8" t="s">
        <v>776</v>
      </c>
      <c r="H202" s="2" t="s">
        <v>807</v>
      </c>
      <c r="I202" s="1" t="s">
        <v>708</v>
      </c>
      <c r="J202" s="1" t="s">
        <v>35</v>
      </c>
      <c r="K202" s="6" t="s">
        <v>40</v>
      </c>
      <c r="L202" s="1"/>
    </row>
    <row r="203" spans="1:12" ht="15.75" customHeight="1">
      <c r="A203" s="1" t="s">
        <v>808</v>
      </c>
      <c r="B203" s="2" t="s">
        <v>809</v>
      </c>
      <c r="C203" s="2" t="s">
        <v>697</v>
      </c>
      <c r="D203" s="2" t="s">
        <v>698</v>
      </c>
      <c r="E203" s="2" t="s">
        <v>810</v>
      </c>
      <c r="F203" s="2" t="s">
        <v>157</v>
      </c>
      <c r="G203" s="8" t="s">
        <v>811</v>
      </c>
      <c r="H203" s="2" t="s">
        <v>812</v>
      </c>
      <c r="I203" s="1" t="s">
        <v>708</v>
      </c>
      <c r="J203" s="1" t="s">
        <v>35</v>
      </c>
      <c r="K203" s="6" t="s">
        <v>40</v>
      </c>
      <c r="L203" s="1"/>
    </row>
    <row r="204" spans="1:12" ht="15.75" customHeight="1">
      <c r="A204" s="1" t="s">
        <v>813</v>
      </c>
      <c r="B204" s="2" t="s">
        <v>814</v>
      </c>
      <c r="C204" s="2" t="s">
        <v>697</v>
      </c>
      <c r="D204" s="2" t="s">
        <v>698</v>
      </c>
      <c r="E204" s="2" t="s">
        <v>815</v>
      </c>
      <c r="F204" s="2" t="s">
        <v>120</v>
      </c>
      <c r="G204" s="8" t="s">
        <v>816</v>
      </c>
      <c r="H204" s="2" t="s">
        <v>817</v>
      </c>
      <c r="I204" s="1" t="s">
        <v>708</v>
      </c>
      <c r="J204" s="1" t="s">
        <v>35</v>
      </c>
      <c r="K204" s="6" t="s">
        <v>40</v>
      </c>
      <c r="L204" s="1"/>
    </row>
    <row r="205" spans="1:12" ht="15.75" customHeight="1">
      <c r="A205" s="1" t="s">
        <v>818</v>
      </c>
      <c r="B205" s="2" t="s">
        <v>749</v>
      </c>
      <c r="C205" s="2" t="s">
        <v>697</v>
      </c>
      <c r="D205" s="2" t="s">
        <v>698</v>
      </c>
      <c r="E205" s="2" t="s">
        <v>750</v>
      </c>
      <c r="F205" s="2" t="s">
        <v>157</v>
      </c>
      <c r="G205" s="8" t="s">
        <v>751</v>
      </c>
      <c r="H205" s="2" t="s">
        <v>819</v>
      </c>
      <c r="I205" s="1" t="s">
        <v>714</v>
      </c>
      <c r="J205" s="1" t="s">
        <v>28</v>
      </c>
      <c r="K205" s="6" t="s">
        <v>40</v>
      </c>
      <c r="L205" s="1"/>
    </row>
    <row r="206" spans="1:12" ht="15.75" customHeight="1">
      <c r="A206" s="1" t="s">
        <v>820</v>
      </c>
      <c r="B206" s="2" t="s">
        <v>723</v>
      </c>
      <c r="C206" s="2" t="s">
        <v>697</v>
      </c>
      <c r="D206" s="2" t="s">
        <v>698</v>
      </c>
      <c r="E206" s="2" t="s">
        <v>724</v>
      </c>
      <c r="F206" s="2" t="s">
        <v>140</v>
      </c>
      <c r="G206" s="8" t="s">
        <v>725</v>
      </c>
      <c r="H206" s="2" t="s">
        <v>821</v>
      </c>
      <c r="I206" s="1" t="s">
        <v>714</v>
      </c>
      <c r="J206" s="1" t="s">
        <v>28</v>
      </c>
      <c r="K206" s="6" t="s">
        <v>40</v>
      </c>
      <c r="L206" s="1"/>
    </row>
    <row r="207" spans="1:12" ht="15.75" customHeight="1">
      <c r="A207" s="1" t="s">
        <v>822</v>
      </c>
      <c r="B207" s="2" t="s">
        <v>710</v>
      </c>
      <c r="C207" s="2" t="s">
        <v>697</v>
      </c>
      <c r="D207" s="2" t="s">
        <v>698</v>
      </c>
      <c r="E207" s="2" t="s">
        <v>711</v>
      </c>
      <c r="F207" s="2" t="s">
        <v>126</v>
      </c>
      <c r="G207" s="8" t="s">
        <v>712</v>
      </c>
      <c r="H207" s="2" t="s">
        <v>823</v>
      </c>
      <c r="I207" s="1" t="s">
        <v>714</v>
      </c>
      <c r="J207" s="1" t="s">
        <v>28</v>
      </c>
      <c r="K207" s="6" t="s">
        <v>40</v>
      </c>
      <c r="L207" s="1"/>
    </row>
    <row r="208" spans="1:12" ht="15.75" customHeight="1">
      <c r="A208" s="1" t="s">
        <v>824</v>
      </c>
      <c r="B208" s="2" t="s">
        <v>728</v>
      </c>
      <c r="C208" s="2" t="s">
        <v>697</v>
      </c>
      <c r="D208" s="2" t="s">
        <v>698</v>
      </c>
      <c r="E208" s="2" t="s">
        <v>729</v>
      </c>
      <c r="F208" s="2" t="s">
        <v>24</v>
      </c>
      <c r="G208" s="8" t="s">
        <v>730</v>
      </c>
      <c r="H208" s="2" t="s">
        <v>825</v>
      </c>
      <c r="I208" s="1" t="s">
        <v>714</v>
      </c>
      <c r="J208" s="1" t="s">
        <v>28</v>
      </c>
      <c r="K208" s="6" t="s">
        <v>40</v>
      </c>
      <c r="L208" s="1"/>
    </row>
    <row r="209" spans="1:12" ht="15.75" customHeight="1">
      <c r="A209" s="1" t="s">
        <v>826</v>
      </c>
      <c r="B209" s="2" t="s">
        <v>742</v>
      </c>
      <c r="C209" s="2" t="s">
        <v>697</v>
      </c>
      <c r="D209" s="2" t="s">
        <v>698</v>
      </c>
      <c r="E209" s="2" t="s">
        <v>743</v>
      </c>
      <c r="F209" s="2" t="s">
        <v>126</v>
      </c>
      <c r="G209" s="8" t="s">
        <v>744</v>
      </c>
      <c r="H209" s="2" t="s">
        <v>827</v>
      </c>
      <c r="I209" s="1" t="s">
        <v>714</v>
      </c>
      <c r="J209" s="1" t="s">
        <v>28</v>
      </c>
      <c r="K209" s="6" t="s">
        <v>40</v>
      </c>
      <c r="L209" s="1"/>
    </row>
    <row r="210" spans="1:12" ht="15.75" customHeight="1">
      <c r="A210" s="1" t="s">
        <v>828</v>
      </c>
      <c r="B210" s="2" t="s">
        <v>829</v>
      </c>
      <c r="C210" s="2" t="s">
        <v>697</v>
      </c>
      <c r="D210" s="2" t="s">
        <v>698</v>
      </c>
      <c r="E210" s="2" t="s">
        <v>830</v>
      </c>
      <c r="F210" s="2" t="s">
        <v>180</v>
      </c>
      <c r="G210" s="8" t="s">
        <v>831</v>
      </c>
      <c r="H210" s="2" t="s">
        <v>832</v>
      </c>
      <c r="I210" s="1" t="s">
        <v>714</v>
      </c>
      <c r="J210" s="1" t="s">
        <v>28</v>
      </c>
      <c r="K210" s="6" t="s">
        <v>40</v>
      </c>
      <c r="L210" s="1"/>
    </row>
    <row r="211" spans="1:12" ht="15.75" customHeight="1">
      <c r="A211" s="1" t="s">
        <v>833</v>
      </c>
      <c r="B211" s="2" t="s">
        <v>814</v>
      </c>
      <c r="C211" s="2" t="s">
        <v>697</v>
      </c>
      <c r="D211" s="2" t="s">
        <v>698</v>
      </c>
      <c r="E211" s="2" t="s">
        <v>815</v>
      </c>
      <c r="F211" s="2" t="s">
        <v>120</v>
      </c>
      <c r="G211" s="8" t="s">
        <v>816</v>
      </c>
      <c r="H211" s="2" t="s">
        <v>834</v>
      </c>
      <c r="I211" s="1" t="s">
        <v>798</v>
      </c>
      <c r="J211" s="1" t="s">
        <v>19</v>
      </c>
      <c r="K211" s="6" t="s">
        <v>40</v>
      </c>
      <c r="L211" s="1"/>
    </row>
    <row r="212" spans="1:12" ht="15.75" customHeight="1">
      <c r="A212" s="1" t="s">
        <v>835</v>
      </c>
      <c r="B212" s="2" t="s">
        <v>742</v>
      </c>
      <c r="C212" s="2" t="s">
        <v>697</v>
      </c>
      <c r="D212" s="2" t="s">
        <v>698</v>
      </c>
      <c r="E212" s="2" t="s">
        <v>743</v>
      </c>
      <c r="F212" s="2" t="s">
        <v>126</v>
      </c>
      <c r="G212" s="8" t="s">
        <v>744</v>
      </c>
      <c r="H212" s="2" t="s">
        <v>836</v>
      </c>
      <c r="I212" s="1" t="s">
        <v>702</v>
      </c>
      <c r="J212" s="1" t="s">
        <v>50</v>
      </c>
      <c r="K212" s="6" t="s">
        <v>40</v>
      </c>
      <c r="L212" s="1"/>
    </row>
    <row r="213" spans="1:12" ht="15.75" customHeight="1">
      <c r="A213" s="1" t="s">
        <v>837</v>
      </c>
      <c r="B213" s="2" t="s">
        <v>742</v>
      </c>
      <c r="C213" s="2" t="s">
        <v>697</v>
      </c>
      <c r="D213" s="2" t="s">
        <v>698</v>
      </c>
      <c r="E213" s="2" t="s">
        <v>743</v>
      </c>
      <c r="F213" s="2" t="s">
        <v>126</v>
      </c>
      <c r="G213" s="8" t="s">
        <v>744</v>
      </c>
      <c r="H213" s="2" t="s">
        <v>838</v>
      </c>
      <c r="I213" s="1" t="s">
        <v>714</v>
      </c>
      <c r="J213" s="1" t="s">
        <v>28</v>
      </c>
      <c r="K213" s="6" t="s">
        <v>40</v>
      </c>
      <c r="L213" s="1"/>
    </row>
    <row r="214" spans="1:12" ht="15.75" customHeight="1">
      <c r="A214" s="1" t="s">
        <v>839</v>
      </c>
      <c r="B214" s="2" t="s">
        <v>840</v>
      </c>
      <c r="C214" s="2" t="s">
        <v>697</v>
      </c>
      <c r="D214" s="2" t="s">
        <v>698</v>
      </c>
      <c r="E214" s="2" t="s">
        <v>841</v>
      </c>
      <c r="F214" s="2" t="s">
        <v>46</v>
      </c>
      <c r="G214" s="8" t="s">
        <v>842</v>
      </c>
      <c r="H214" s="2" t="s">
        <v>843</v>
      </c>
      <c r="I214" s="1" t="s">
        <v>100</v>
      </c>
      <c r="J214" s="1" t="s">
        <v>78</v>
      </c>
      <c r="K214" s="6" t="s">
        <v>40</v>
      </c>
      <c r="L214" s="1"/>
    </row>
    <row r="215" spans="1:12" ht="15.75" customHeight="1">
      <c r="A215" s="1" t="s">
        <v>844</v>
      </c>
      <c r="B215" s="2" t="s">
        <v>759</v>
      </c>
      <c r="C215" s="2" t="s">
        <v>697</v>
      </c>
      <c r="D215" s="2" t="s">
        <v>698</v>
      </c>
      <c r="E215" s="2" t="s">
        <v>760</v>
      </c>
      <c r="F215" s="2" t="s">
        <v>46</v>
      </c>
      <c r="G215" s="8" t="s">
        <v>761</v>
      </c>
      <c r="H215" s="2" t="s">
        <v>845</v>
      </c>
      <c r="I215" s="1" t="s">
        <v>708</v>
      </c>
      <c r="J215" s="1" t="s">
        <v>35</v>
      </c>
      <c r="K215" s="6" t="s">
        <v>40</v>
      </c>
      <c r="L215" s="1"/>
    </row>
    <row r="216" spans="1:12" ht="15.75" customHeight="1">
      <c r="A216" s="1" t="s">
        <v>846</v>
      </c>
      <c r="B216" s="2" t="s">
        <v>809</v>
      </c>
      <c r="C216" s="2" t="s">
        <v>697</v>
      </c>
      <c r="D216" s="2" t="s">
        <v>698</v>
      </c>
      <c r="E216" s="2" t="s">
        <v>810</v>
      </c>
      <c r="F216" s="2" t="s">
        <v>157</v>
      </c>
      <c r="G216" s="8" t="s">
        <v>811</v>
      </c>
      <c r="H216" s="2" t="s">
        <v>847</v>
      </c>
      <c r="I216" s="1" t="s">
        <v>702</v>
      </c>
      <c r="J216" s="1" t="s">
        <v>50</v>
      </c>
      <c r="K216" s="6" t="s">
        <v>40</v>
      </c>
      <c r="L216" s="1"/>
    </row>
    <row r="217" spans="1:12" ht="15.75" customHeight="1">
      <c r="A217" s="1" t="s">
        <v>848</v>
      </c>
      <c r="B217" s="2" t="s">
        <v>829</v>
      </c>
      <c r="C217" s="2" t="s">
        <v>697</v>
      </c>
      <c r="D217" s="2" t="s">
        <v>698</v>
      </c>
      <c r="E217" s="2" t="s">
        <v>830</v>
      </c>
      <c r="F217" s="2" t="s">
        <v>180</v>
      </c>
      <c r="G217" s="8" t="s">
        <v>831</v>
      </c>
      <c r="H217" s="2" t="s">
        <v>849</v>
      </c>
      <c r="I217" s="1" t="s">
        <v>798</v>
      </c>
      <c r="J217" s="1" t="s">
        <v>19</v>
      </c>
      <c r="K217" s="6" t="s">
        <v>40</v>
      </c>
      <c r="L217" s="1"/>
    </row>
    <row r="218" spans="1:12" ht="15.75" customHeight="1">
      <c r="A218" s="1" t="s">
        <v>850</v>
      </c>
      <c r="B218" s="2" t="s">
        <v>696</v>
      </c>
      <c r="C218" s="2" t="s">
        <v>697</v>
      </c>
      <c r="D218" s="2" t="s">
        <v>698</v>
      </c>
      <c r="E218" s="2" t="s">
        <v>699</v>
      </c>
      <c r="F218" s="2" t="s">
        <v>89</v>
      </c>
      <c r="G218" s="8" t="s">
        <v>700</v>
      </c>
      <c r="H218" s="2" t="s">
        <v>851</v>
      </c>
      <c r="I218" s="1" t="s">
        <v>702</v>
      </c>
      <c r="J218" s="1" t="s">
        <v>50</v>
      </c>
      <c r="K218" s="6" t="s">
        <v>40</v>
      </c>
      <c r="L218" s="1"/>
    </row>
    <row r="219" spans="1:12" ht="15.75" customHeight="1">
      <c r="A219" s="1" t="s">
        <v>852</v>
      </c>
      <c r="B219" s="2" t="s">
        <v>704</v>
      </c>
      <c r="C219" s="2" t="s">
        <v>697</v>
      </c>
      <c r="D219" s="2" t="s">
        <v>698</v>
      </c>
      <c r="E219" s="2" t="s">
        <v>705</v>
      </c>
      <c r="F219" s="2" t="s">
        <v>15</v>
      </c>
      <c r="G219" s="8" t="s">
        <v>706</v>
      </c>
      <c r="H219" s="2" t="s">
        <v>853</v>
      </c>
      <c r="I219" s="1" t="s">
        <v>714</v>
      </c>
      <c r="J219" s="1" t="s">
        <v>28</v>
      </c>
      <c r="K219" s="6" t="s">
        <v>40</v>
      </c>
      <c r="L219" s="1"/>
    </row>
    <row r="220" spans="1:12" ht="15.75" customHeight="1">
      <c r="A220" s="1" t="s">
        <v>854</v>
      </c>
      <c r="B220" s="2" t="s">
        <v>728</v>
      </c>
      <c r="C220" s="2" t="s">
        <v>697</v>
      </c>
      <c r="D220" s="2" t="s">
        <v>698</v>
      </c>
      <c r="E220" s="2" t="s">
        <v>729</v>
      </c>
      <c r="F220" s="2" t="s">
        <v>24</v>
      </c>
      <c r="G220" s="8" t="s">
        <v>730</v>
      </c>
      <c r="H220" s="2" t="s">
        <v>855</v>
      </c>
      <c r="I220" s="1" t="s">
        <v>714</v>
      </c>
      <c r="J220" s="1" t="s">
        <v>28</v>
      </c>
      <c r="K220" s="6" t="s">
        <v>40</v>
      </c>
      <c r="L220" s="1"/>
    </row>
    <row r="221" spans="1:12" ht="15.75" customHeight="1">
      <c r="A221" s="1" t="s">
        <v>856</v>
      </c>
      <c r="B221" s="2" t="s">
        <v>829</v>
      </c>
      <c r="C221" s="2" t="s">
        <v>697</v>
      </c>
      <c r="D221" s="2" t="s">
        <v>698</v>
      </c>
      <c r="E221" s="2" t="s">
        <v>830</v>
      </c>
      <c r="F221" s="2" t="s">
        <v>180</v>
      </c>
      <c r="G221" s="8" t="s">
        <v>831</v>
      </c>
      <c r="H221" s="2" t="s">
        <v>857</v>
      </c>
      <c r="I221" s="1" t="s">
        <v>708</v>
      </c>
      <c r="J221" s="1" t="s">
        <v>35</v>
      </c>
      <c r="K221" s="6" t="s">
        <v>40</v>
      </c>
      <c r="L221" s="1"/>
    </row>
    <row r="222" spans="1:12" ht="15.75" customHeight="1">
      <c r="A222" s="1" t="s">
        <v>858</v>
      </c>
      <c r="B222" s="2" t="s">
        <v>749</v>
      </c>
      <c r="C222" s="2" t="s">
        <v>697</v>
      </c>
      <c r="D222" s="2" t="s">
        <v>698</v>
      </c>
      <c r="E222" s="2" t="s">
        <v>750</v>
      </c>
      <c r="F222" s="2" t="s">
        <v>157</v>
      </c>
      <c r="G222" s="8" t="s">
        <v>751</v>
      </c>
      <c r="H222" s="2" t="s">
        <v>859</v>
      </c>
      <c r="I222" s="1" t="s">
        <v>714</v>
      </c>
      <c r="J222" s="1" t="s">
        <v>28</v>
      </c>
      <c r="K222" s="6" t="s">
        <v>40</v>
      </c>
      <c r="L222" s="1"/>
    </row>
    <row r="223" spans="1:12" ht="15.75" customHeight="1">
      <c r="A223" s="1" t="s">
        <v>860</v>
      </c>
      <c r="B223" s="2" t="s">
        <v>704</v>
      </c>
      <c r="C223" s="2" t="s">
        <v>697</v>
      </c>
      <c r="D223" s="2" t="s">
        <v>698</v>
      </c>
      <c r="E223" s="2" t="s">
        <v>705</v>
      </c>
      <c r="F223" s="2" t="s">
        <v>15</v>
      </c>
      <c r="G223" s="8" t="s">
        <v>706</v>
      </c>
      <c r="H223" s="2" t="s">
        <v>861</v>
      </c>
      <c r="I223" s="1" t="s">
        <v>100</v>
      </c>
      <c r="J223" s="1" t="s">
        <v>78</v>
      </c>
      <c r="K223" s="6" t="s">
        <v>40</v>
      </c>
      <c r="L223" s="1"/>
    </row>
    <row r="224" spans="1:12" ht="15.75" customHeight="1">
      <c r="A224" s="1" t="s">
        <v>862</v>
      </c>
      <c r="B224" s="2" t="s">
        <v>759</v>
      </c>
      <c r="C224" s="2" t="s">
        <v>697</v>
      </c>
      <c r="D224" s="2" t="s">
        <v>698</v>
      </c>
      <c r="E224" s="2" t="s">
        <v>760</v>
      </c>
      <c r="F224" s="2" t="s">
        <v>46</v>
      </c>
      <c r="G224" s="8" t="s">
        <v>761</v>
      </c>
      <c r="H224" s="2" t="s">
        <v>863</v>
      </c>
      <c r="I224" s="1" t="s">
        <v>714</v>
      </c>
      <c r="J224" s="1" t="s">
        <v>28</v>
      </c>
      <c r="K224" s="6" t="s">
        <v>40</v>
      </c>
      <c r="L224" s="1"/>
    </row>
    <row r="225" spans="1:12" ht="15.75" customHeight="1">
      <c r="A225" s="1" t="s">
        <v>864</v>
      </c>
      <c r="B225" s="2" t="s">
        <v>809</v>
      </c>
      <c r="C225" s="2" t="s">
        <v>697</v>
      </c>
      <c r="D225" s="2" t="s">
        <v>698</v>
      </c>
      <c r="E225" s="2" t="s">
        <v>810</v>
      </c>
      <c r="F225" s="2" t="s">
        <v>157</v>
      </c>
      <c r="G225" s="8" t="s">
        <v>811</v>
      </c>
      <c r="H225" s="2" t="s">
        <v>865</v>
      </c>
      <c r="I225" s="1" t="s">
        <v>708</v>
      </c>
      <c r="J225" s="1" t="s">
        <v>35</v>
      </c>
      <c r="K225" s="6" t="s">
        <v>40</v>
      </c>
      <c r="L225" s="1"/>
    </row>
    <row r="226" spans="1:12" ht="15.75" customHeight="1">
      <c r="A226" s="1" t="s">
        <v>866</v>
      </c>
      <c r="B226" s="2" t="s">
        <v>759</v>
      </c>
      <c r="C226" s="2" t="s">
        <v>697</v>
      </c>
      <c r="D226" s="2" t="s">
        <v>698</v>
      </c>
      <c r="E226" s="2" t="s">
        <v>760</v>
      </c>
      <c r="F226" s="2" t="s">
        <v>46</v>
      </c>
      <c r="G226" s="8" t="s">
        <v>761</v>
      </c>
      <c r="H226" s="2" t="s">
        <v>867</v>
      </c>
      <c r="I226" s="1" t="s">
        <v>708</v>
      </c>
      <c r="J226" s="1" t="s">
        <v>35</v>
      </c>
      <c r="K226" s="6" t="s">
        <v>40</v>
      </c>
      <c r="L226" s="1"/>
    </row>
    <row r="227" spans="1:12" ht="15.75" customHeight="1">
      <c r="A227" s="1" t="s">
        <v>868</v>
      </c>
      <c r="B227" s="2" t="s">
        <v>733</v>
      </c>
      <c r="C227" s="2" t="s">
        <v>697</v>
      </c>
      <c r="D227" s="2" t="s">
        <v>698</v>
      </c>
      <c r="E227" s="2" t="s">
        <v>734</v>
      </c>
      <c r="F227" s="2" t="s">
        <v>120</v>
      </c>
      <c r="G227" s="8" t="s">
        <v>735</v>
      </c>
      <c r="H227" s="2" t="s">
        <v>869</v>
      </c>
      <c r="I227" s="1" t="s">
        <v>708</v>
      </c>
      <c r="J227" s="1" t="s">
        <v>35</v>
      </c>
      <c r="K227" s="6" t="s">
        <v>40</v>
      </c>
      <c r="L227" s="1"/>
    </row>
    <row r="228" spans="1:12" ht="15.75" customHeight="1">
      <c r="A228" s="1" t="s">
        <v>870</v>
      </c>
      <c r="B228" s="2" t="s">
        <v>759</v>
      </c>
      <c r="C228" s="2" t="s">
        <v>697</v>
      </c>
      <c r="D228" s="2" t="s">
        <v>698</v>
      </c>
      <c r="E228" s="2" t="s">
        <v>760</v>
      </c>
      <c r="F228" s="2" t="s">
        <v>46</v>
      </c>
      <c r="G228" s="8" t="s">
        <v>761</v>
      </c>
      <c r="H228" s="2" t="s">
        <v>871</v>
      </c>
      <c r="I228" s="1" t="s">
        <v>708</v>
      </c>
      <c r="J228" s="1" t="s">
        <v>35</v>
      </c>
      <c r="K228" s="6" t="s">
        <v>40</v>
      </c>
      <c r="L228" s="1"/>
    </row>
    <row r="229" spans="1:12" ht="15.75" customHeight="1">
      <c r="A229" s="1" t="s">
        <v>872</v>
      </c>
      <c r="B229" s="2" t="s">
        <v>759</v>
      </c>
      <c r="C229" s="2" t="s">
        <v>697</v>
      </c>
      <c r="D229" s="2" t="s">
        <v>698</v>
      </c>
      <c r="E229" s="2" t="s">
        <v>760</v>
      </c>
      <c r="F229" s="2" t="s">
        <v>46</v>
      </c>
      <c r="G229" s="8" t="s">
        <v>761</v>
      </c>
      <c r="H229" s="2" t="s">
        <v>873</v>
      </c>
      <c r="I229" s="1" t="s">
        <v>714</v>
      </c>
      <c r="J229" s="1" t="s">
        <v>28</v>
      </c>
      <c r="K229" s="6" t="s">
        <v>40</v>
      </c>
      <c r="L229" s="1"/>
    </row>
    <row r="230" spans="1:12" ht="15.75" customHeight="1">
      <c r="A230" s="1" t="s">
        <v>874</v>
      </c>
      <c r="B230" s="2" t="s">
        <v>774</v>
      </c>
      <c r="C230" s="2" t="s">
        <v>697</v>
      </c>
      <c r="D230" s="2" t="s">
        <v>698</v>
      </c>
      <c r="E230" s="2" t="s">
        <v>775</v>
      </c>
      <c r="F230" s="2" t="s">
        <v>24</v>
      </c>
      <c r="G230" s="8" t="s">
        <v>776</v>
      </c>
      <c r="H230" s="2" t="s">
        <v>875</v>
      </c>
      <c r="I230" s="1" t="s">
        <v>714</v>
      </c>
      <c r="J230" s="1" t="s">
        <v>28</v>
      </c>
      <c r="K230" s="6" t="s">
        <v>40</v>
      </c>
      <c r="L230" s="1"/>
    </row>
    <row r="231" spans="1:12" ht="15.75" customHeight="1">
      <c r="A231" s="1" t="s">
        <v>876</v>
      </c>
      <c r="B231" s="2" t="s">
        <v>749</v>
      </c>
      <c r="C231" s="2" t="s">
        <v>697</v>
      </c>
      <c r="D231" s="2" t="s">
        <v>698</v>
      </c>
      <c r="E231" s="2" t="s">
        <v>750</v>
      </c>
      <c r="F231" s="2" t="s">
        <v>157</v>
      </c>
      <c r="G231" s="8" t="s">
        <v>751</v>
      </c>
      <c r="H231" s="2" t="s">
        <v>877</v>
      </c>
      <c r="I231" s="1" t="s">
        <v>708</v>
      </c>
      <c r="J231" s="1" t="s">
        <v>35</v>
      </c>
      <c r="K231" s="6" t="s">
        <v>40</v>
      </c>
      <c r="L231" s="1"/>
    </row>
    <row r="232" spans="1:12" ht="15.75" customHeight="1">
      <c r="A232" s="1" t="s">
        <v>878</v>
      </c>
      <c r="B232" s="2" t="s">
        <v>759</v>
      </c>
      <c r="C232" s="2" t="s">
        <v>697</v>
      </c>
      <c r="D232" s="2" t="s">
        <v>698</v>
      </c>
      <c r="E232" s="2" t="s">
        <v>760</v>
      </c>
      <c r="F232" s="2" t="s">
        <v>46</v>
      </c>
      <c r="G232" s="8" t="s">
        <v>761</v>
      </c>
      <c r="H232" s="2" t="s">
        <v>879</v>
      </c>
      <c r="I232" s="1" t="s">
        <v>702</v>
      </c>
      <c r="J232" s="1" t="s">
        <v>50</v>
      </c>
      <c r="K232" s="6" t="s">
        <v>40</v>
      </c>
      <c r="L232" s="1"/>
    </row>
    <row r="233" spans="1:12" ht="15.75" customHeight="1">
      <c r="A233" s="1" t="s">
        <v>880</v>
      </c>
      <c r="B233" s="2" t="s">
        <v>759</v>
      </c>
      <c r="C233" s="2" t="s">
        <v>697</v>
      </c>
      <c r="D233" s="2" t="s">
        <v>698</v>
      </c>
      <c r="E233" s="2" t="s">
        <v>760</v>
      </c>
      <c r="F233" s="2" t="s">
        <v>46</v>
      </c>
      <c r="G233" s="8" t="s">
        <v>761</v>
      </c>
      <c r="H233" s="2" t="s">
        <v>881</v>
      </c>
      <c r="I233" s="1" t="s">
        <v>798</v>
      </c>
      <c r="J233" s="1" t="s">
        <v>19</v>
      </c>
      <c r="K233" s="6" t="s">
        <v>40</v>
      </c>
      <c r="L233" s="1"/>
    </row>
    <row r="234" spans="1:12" ht="15.75" customHeight="1">
      <c r="A234" s="1" t="s">
        <v>882</v>
      </c>
      <c r="B234" s="2" t="s">
        <v>790</v>
      </c>
      <c r="C234" s="2" t="s">
        <v>697</v>
      </c>
      <c r="D234" s="2" t="s">
        <v>698</v>
      </c>
      <c r="E234" s="2" t="s">
        <v>791</v>
      </c>
      <c r="F234" s="2" t="s">
        <v>330</v>
      </c>
      <c r="G234" s="8" t="s">
        <v>792</v>
      </c>
      <c r="H234" s="2" t="s">
        <v>883</v>
      </c>
      <c r="I234" s="1" t="s">
        <v>714</v>
      </c>
      <c r="J234" s="1" t="s">
        <v>28</v>
      </c>
      <c r="K234" s="6" t="s">
        <v>40</v>
      </c>
      <c r="L234" s="1"/>
    </row>
    <row r="235" spans="1:12" ht="15.75" customHeight="1">
      <c r="A235" s="1" t="s">
        <v>884</v>
      </c>
      <c r="B235" s="2" t="s">
        <v>704</v>
      </c>
      <c r="C235" s="2" t="s">
        <v>697</v>
      </c>
      <c r="D235" s="2" t="s">
        <v>698</v>
      </c>
      <c r="E235" s="2" t="s">
        <v>705</v>
      </c>
      <c r="F235" s="2" t="s">
        <v>15</v>
      </c>
      <c r="G235" s="8" t="s">
        <v>706</v>
      </c>
      <c r="H235" s="2" t="s">
        <v>885</v>
      </c>
      <c r="I235" s="1" t="s">
        <v>708</v>
      </c>
      <c r="J235" s="1" t="s">
        <v>35</v>
      </c>
      <c r="K235" s="6" t="s">
        <v>40</v>
      </c>
      <c r="L235" s="1"/>
    </row>
    <row r="236" spans="1:12" ht="15.75" customHeight="1">
      <c r="A236" s="1" t="s">
        <v>886</v>
      </c>
      <c r="B236" s="2" t="s">
        <v>742</v>
      </c>
      <c r="C236" s="2" t="s">
        <v>697</v>
      </c>
      <c r="D236" s="2" t="s">
        <v>698</v>
      </c>
      <c r="E236" s="2" t="s">
        <v>743</v>
      </c>
      <c r="F236" s="2" t="s">
        <v>126</v>
      </c>
      <c r="G236" s="8" t="s">
        <v>744</v>
      </c>
      <c r="H236" s="2" t="s">
        <v>887</v>
      </c>
      <c r="I236" s="1" t="s">
        <v>714</v>
      </c>
      <c r="J236" s="1" t="s">
        <v>28</v>
      </c>
      <c r="K236" s="6" t="s">
        <v>40</v>
      </c>
      <c r="L236" s="1"/>
    </row>
    <row r="237" spans="1:12" ht="15.75" customHeight="1">
      <c r="A237" s="1" t="s">
        <v>888</v>
      </c>
      <c r="B237" s="2" t="s">
        <v>742</v>
      </c>
      <c r="C237" s="2" t="s">
        <v>697</v>
      </c>
      <c r="D237" s="2" t="s">
        <v>698</v>
      </c>
      <c r="E237" s="2" t="s">
        <v>743</v>
      </c>
      <c r="F237" s="2" t="s">
        <v>126</v>
      </c>
      <c r="G237" s="8" t="s">
        <v>744</v>
      </c>
      <c r="H237" s="2" t="s">
        <v>889</v>
      </c>
      <c r="I237" s="1" t="s">
        <v>714</v>
      </c>
      <c r="J237" s="1" t="s">
        <v>28</v>
      </c>
      <c r="K237" s="6" t="s">
        <v>40</v>
      </c>
      <c r="L237" s="1"/>
    </row>
    <row r="238" spans="1:12" ht="15.75" customHeight="1">
      <c r="A238" s="1" t="s">
        <v>890</v>
      </c>
      <c r="B238" s="2" t="s">
        <v>696</v>
      </c>
      <c r="C238" s="2" t="s">
        <v>697</v>
      </c>
      <c r="D238" s="2" t="s">
        <v>698</v>
      </c>
      <c r="E238" s="2" t="s">
        <v>699</v>
      </c>
      <c r="F238" s="2" t="s">
        <v>89</v>
      </c>
      <c r="G238" s="8" t="s">
        <v>700</v>
      </c>
      <c r="H238" s="2" t="s">
        <v>891</v>
      </c>
      <c r="I238" s="1" t="s">
        <v>798</v>
      </c>
      <c r="J238" s="1" t="s">
        <v>19</v>
      </c>
      <c r="K238" s="6" t="s">
        <v>40</v>
      </c>
      <c r="L238" s="1"/>
    </row>
    <row r="239" spans="1:12" ht="15.75" customHeight="1">
      <c r="A239" s="1" t="s">
        <v>892</v>
      </c>
      <c r="B239" s="2" t="s">
        <v>790</v>
      </c>
      <c r="C239" s="2" t="s">
        <v>697</v>
      </c>
      <c r="D239" s="2" t="s">
        <v>698</v>
      </c>
      <c r="E239" s="2" t="s">
        <v>791</v>
      </c>
      <c r="F239" s="2" t="s">
        <v>330</v>
      </c>
      <c r="G239" s="8" t="s">
        <v>792</v>
      </c>
      <c r="H239" s="2" t="s">
        <v>893</v>
      </c>
      <c r="I239" s="1" t="s">
        <v>714</v>
      </c>
      <c r="J239" s="1" t="s">
        <v>28</v>
      </c>
      <c r="K239" s="6" t="s">
        <v>40</v>
      </c>
      <c r="L239" s="1"/>
    </row>
    <row r="240" spans="1:12" ht="15.75" customHeight="1">
      <c r="A240" s="1" t="s">
        <v>894</v>
      </c>
      <c r="B240" s="2" t="s">
        <v>742</v>
      </c>
      <c r="C240" s="2" t="s">
        <v>697</v>
      </c>
      <c r="D240" s="2" t="s">
        <v>698</v>
      </c>
      <c r="E240" s="2" t="s">
        <v>743</v>
      </c>
      <c r="F240" s="2" t="s">
        <v>126</v>
      </c>
      <c r="G240" s="8" t="s">
        <v>744</v>
      </c>
      <c r="H240" s="2" t="s">
        <v>895</v>
      </c>
      <c r="I240" s="1" t="s">
        <v>714</v>
      </c>
      <c r="J240" s="1" t="s">
        <v>28</v>
      </c>
      <c r="K240" s="6" t="s">
        <v>40</v>
      </c>
      <c r="L240" s="1"/>
    </row>
    <row r="241" spans="1:12" ht="15.75" customHeight="1">
      <c r="A241" s="1" t="s">
        <v>896</v>
      </c>
      <c r="B241" s="2" t="s">
        <v>742</v>
      </c>
      <c r="C241" s="2" t="s">
        <v>697</v>
      </c>
      <c r="D241" s="2" t="s">
        <v>698</v>
      </c>
      <c r="E241" s="2" t="s">
        <v>743</v>
      </c>
      <c r="F241" s="2" t="s">
        <v>126</v>
      </c>
      <c r="G241" s="8" t="s">
        <v>744</v>
      </c>
      <c r="H241" s="2" t="s">
        <v>897</v>
      </c>
      <c r="I241" s="1" t="s">
        <v>714</v>
      </c>
      <c r="J241" s="1" t="s">
        <v>28</v>
      </c>
      <c r="K241" s="6" t="s">
        <v>40</v>
      </c>
      <c r="L241" s="1"/>
    </row>
    <row r="242" spans="1:12" ht="15.75" customHeight="1">
      <c r="A242" s="1" t="s">
        <v>898</v>
      </c>
      <c r="B242" s="2" t="s">
        <v>754</v>
      </c>
      <c r="C242" s="2" t="s">
        <v>697</v>
      </c>
      <c r="D242" s="2" t="s">
        <v>698</v>
      </c>
      <c r="E242" s="2" t="s">
        <v>755</v>
      </c>
      <c r="F242" s="2" t="s">
        <v>61</v>
      </c>
      <c r="G242" s="8" t="s">
        <v>756</v>
      </c>
      <c r="H242" s="2" t="s">
        <v>899</v>
      </c>
      <c r="I242" s="1" t="s">
        <v>100</v>
      </c>
      <c r="J242" s="1" t="s">
        <v>78</v>
      </c>
      <c r="K242" s="6" t="s">
        <v>40</v>
      </c>
      <c r="L242" s="1"/>
    </row>
    <row r="243" spans="1:12" ht="15.75" customHeight="1">
      <c r="A243" s="1" t="s">
        <v>900</v>
      </c>
      <c r="B243" s="2" t="s">
        <v>742</v>
      </c>
      <c r="C243" s="2" t="s">
        <v>697</v>
      </c>
      <c r="D243" s="2" t="s">
        <v>698</v>
      </c>
      <c r="E243" s="2" t="s">
        <v>743</v>
      </c>
      <c r="F243" s="2" t="s">
        <v>126</v>
      </c>
      <c r="G243" s="8" t="s">
        <v>744</v>
      </c>
      <c r="H243" s="2" t="s">
        <v>901</v>
      </c>
      <c r="I243" s="1" t="s">
        <v>714</v>
      </c>
      <c r="J243" s="1" t="s">
        <v>28</v>
      </c>
      <c r="K243" s="6" t="s">
        <v>40</v>
      </c>
      <c r="L243" s="1"/>
    </row>
    <row r="244" spans="1:12" ht="15.75" customHeight="1">
      <c r="A244" s="1" t="s">
        <v>902</v>
      </c>
      <c r="B244" s="2" t="s">
        <v>774</v>
      </c>
      <c r="C244" s="2" t="s">
        <v>697</v>
      </c>
      <c r="D244" s="2" t="s">
        <v>698</v>
      </c>
      <c r="E244" s="2" t="s">
        <v>775</v>
      </c>
      <c r="F244" s="2" t="s">
        <v>24</v>
      </c>
      <c r="G244" s="8" t="s">
        <v>776</v>
      </c>
      <c r="H244" s="2" t="s">
        <v>903</v>
      </c>
      <c r="I244" s="1" t="s">
        <v>100</v>
      </c>
      <c r="J244" s="1" t="s">
        <v>78</v>
      </c>
      <c r="K244" s="6" t="s">
        <v>40</v>
      </c>
      <c r="L244" s="1"/>
    </row>
    <row r="245" spans="1:12" ht="15.75" customHeight="1">
      <c r="A245" s="1" t="s">
        <v>904</v>
      </c>
      <c r="B245" s="2" t="s">
        <v>840</v>
      </c>
      <c r="C245" s="2" t="s">
        <v>697</v>
      </c>
      <c r="D245" s="2" t="s">
        <v>698</v>
      </c>
      <c r="E245" s="2" t="s">
        <v>841</v>
      </c>
      <c r="F245" s="2" t="s">
        <v>46</v>
      </c>
      <c r="G245" s="8" t="s">
        <v>842</v>
      </c>
      <c r="H245" s="2" t="s">
        <v>905</v>
      </c>
      <c r="I245" s="1" t="s">
        <v>798</v>
      </c>
      <c r="J245" s="1" t="s">
        <v>19</v>
      </c>
      <c r="K245" s="6" t="s">
        <v>40</v>
      </c>
      <c r="L245" s="1"/>
    </row>
    <row r="246" spans="1:12" ht="15.75" customHeight="1">
      <c r="A246" s="1" t="s">
        <v>906</v>
      </c>
      <c r="B246" s="2" t="s">
        <v>716</v>
      </c>
      <c r="C246" s="2" t="s">
        <v>697</v>
      </c>
      <c r="D246" s="2" t="s">
        <v>698</v>
      </c>
      <c r="E246" s="2" t="s">
        <v>717</v>
      </c>
      <c r="F246" s="2" t="s">
        <v>120</v>
      </c>
      <c r="G246" s="8" t="s">
        <v>718</v>
      </c>
      <c r="H246" s="2" t="s">
        <v>907</v>
      </c>
      <c r="I246" s="1" t="s">
        <v>708</v>
      </c>
      <c r="J246" s="1" t="s">
        <v>35</v>
      </c>
      <c r="K246" s="6" t="s">
        <v>40</v>
      </c>
      <c r="L246" s="1"/>
    </row>
    <row r="247" spans="1:12" ht="15.75" customHeight="1">
      <c r="A247" s="1" t="s">
        <v>908</v>
      </c>
      <c r="B247" s="2" t="s">
        <v>704</v>
      </c>
      <c r="C247" s="2" t="s">
        <v>697</v>
      </c>
      <c r="D247" s="2" t="s">
        <v>698</v>
      </c>
      <c r="E247" s="2" t="s">
        <v>705</v>
      </c>
      <c r="F247" s="2" t="s">
        <v>15</v>
      </c>
      <c r="G247" s="8" t="s">
        <v>706</v>
      </c>
      <c r="H247" s="2" t="s">
        <v>909</v>
      </c>
      <c r="I247" s="1" t="s">
        <v>798</v>
      </c>
      <c r="J247" s="1" t="s">
        <v>19</v>
      </c>
      <c r="K247" s="6" t="s">
        <v>40</v>
      </c>
      <c r="L247" s="1"/>
    </row>
    <row r="248" spans="1:12" ht="15.75" customHeight="1">
      <c r="A248" s="1" t="s">
        <v>910</v>
      </c>
      <c r="B248" s="2" t="s">
        <v>759</v>
      </c>
      <c r="C248" s="2" t="s">
        <v>697</v>
      </c>
      <c r="D248" s="2" t="s">
        <v>698</v>
      </c>
      <c r="E248" s="2" t="s">
        <v>760</v>
      </c>
      <c r="F248" s="2" t="s">
        <v>46</v>
      </c>
      <c r="G248" s="8" t="s">
        <v>761</v>
      </c>
      <c r="H248" s="2" t="s">
        <v>911</v>
      </c>
      <c r="I248" s="1" t="s">
        <v>708</v>
      </c>
      <c r="J248" s="1" t="s">
        <v>35</v>
      </c>
      <c r="K248" s="6" t="s">
        <v>40</v>
      </c>
      <c r="L248" s="1"/>
    </row>
    <row r="249" spans="1:12" ht="15.75" customHeight="1">
      <c r="A249" s="1" t="s">
        <v>912</v>
      </c>
      <c r="B249" s="2" t="s">
        <v>710</v>
      </c>
      <c r="C249" s="2" t="s">
        <v>697</v>
      </c>
      <c r="D249" s="2" t="s">
        <v>698</v>
      </c>
      <c r="E249" s="2" t="s">
        <v>711</v>
      </c>
      <c r="F249" s="2" t="s">
        <v>126</v>
      </c>
      <c r="G249" s="8" t="s">
        <v>712</v>
      </c>
      <c r="H249" s="2" t="s">
        <v>913</v>
      </c>
      <c r="I249" s="1" t="s">
        <v>798</v>
      </c>
      <c r="J249" s="1" t="s">
        <v>19</v>
      </c>
      <c r="K249" s="6" t="s">
        <v>40</v>
      </c>
      <c r="L249" s="1"/>
    </row>
    <row r="250" spans="1:12" ht="15.75" customHeight="1">
      <c r="A250" s="1" t="s">
        <v>914</v>
      </c>
      <c r="B250" s="2" t="s">
        <v>783</v>
      </c>
      <c r="C250" s="2" t="s">
        <v>697</v>
      </c>
      <c r="D250" s="2" t="s">
        <v>698</v>
      </c>
      <c r="E250" s="2" t="s">
        <v>784</v>
      </c>
      <c r="F250" s="2" t="s">
        <v>89</v>
      </c>
      <c r="G250" s="8" t="s">
        <v>785</v>
      </c>
      <c r="H250" s="2" t="s">
        <v>915</v>
      </c>
      <c r="I250" s="1" t="s">
        <v>714</v>
      </c>
      <c r="J250" s="1" t="s">
        <v>28</v>
      </c>
      <c r="K250" s="6" t="s">
        <v>40</v>
      </c>
      <c r="L250" s="1"/>
    </row>
    <row r="251" spans="1:12" ht="15.75" customHeight="1">
      <c r="A251" s="1" t="s">
        <v>916</v>
      </c>
      <c r="B251" s="2" t="s">
        <v>742</v>
      </c>
      <c r="C251" s="2" t="s">
        <v>697</v>
      </c>
      <c r="D251" s="2" t="s">
        <v>698</v>
      </c>
      <c r="E251" s="2" t="s">
        <v>743</v>
      </c>
      <c r="F251" s="2" t="s">
        <v>126</v>
      </c>
      <c r="G251" s="8" t="s">
        <v>744</v>
      </c>
      <c r="H251" s="2" t="s">
        <v>917</v>
      </c>
      <c r="I251" s="1" t="s">
        <v>708</v>
      </c>
      <c r="J251" s="1" t="s">
        <v>35</v>
      </c>
      <c r="K251" s="6" t="s">
        <v>40</v>
      </c>
      <c r="L251" s="1"/>
    </row>
    <row r="252" spans="1:12" ht="15.75" customHeight="1">
      <c r="A252" s="1" t="s">
        <v>918</v>
      </c>
      <c r="B252" s="2" t="s">
        <v>774</v>
      </c>
      <c r="C252" s="2" t="s">
        <v>697</v>
      </c>
      <c r="D252" s="2" t="s">
        <v>698</v>
      </c>
      <c r="E252" s="2" t="s">
        <v>775</v>
      </c>
      <c r="F252" s="2" t="s">
        <v>24</v>
      </c>
      <c r="G252" s="8" t="s">
        <v>776</v>
      </c>
      <c r="H252" s="2" t="s">
        <v>919</v>
      </c>
      <c r="I252" s="1" t="s">
        <v>708</v>
      </c>
      <c r="J252" s="1" t="s">
        <v>35</v>
      </c>
      <c r="K252" s="6" t="s">
        <v>40</v>
      </c>
      <c r="L252" s="1"/>
    </row>
    <row r="253" spans="1:12" ht="15.75" customHeight="1">
      <c r="A253" s="1" t="s">
        <v>920</v>
      </c>
      <c r="B253" s="2" t="s">
        <v>759</v>
      </c>
      <c r="C253" s="2" t="s">
        <v>697</v>
      </c>
      <c r="D253" s="2" t="s">
        <v>698</v>
      </c>
      <c r="E253" s="2" t="s">
        <v>760</v>
      </c>
      <c r="F253" s="2" t="s">
        <v>46</v>
      </c>
      <c r="G253" s="8" t="s">
        <v>761</v>
      </c>
      <c r="H253" s="2" t="s">
        <v>921</v>
      </c>
      <c r="I253" s="1" t="s">
        <v>714</v>
      </c>
      <c r="J253" s="1" t="s">
        <v>28</v>
      </c>
      <c r="K253" s="6" t="s">
        <v>40</v>
      </c>
      <c r="L253" s="1"/>
    </row>
    <row r="254" spans="1:12" ht="15.75" customHeight="1">
      <c r="A254" s="1" t="s">
        <v>922</v>
      </c>
      <c r="B254" s="2" t="s">
        <v>723</v>
      </c>
      <c r="C254" s="2" t="s">
        <v>697</v>
      </c>
      <c r="D254" s="2" t="s">
        <v>698</v>
      </c>
      <c r="E254" s="2" t="s">
        <v>724</v>
      </c>
      <c r="F254" s="2" t="s">
        <v>140</v>
      </c>
      <c r="G254" s="8" t="s">
        <v>725</v>
      </c>
      <c r="H254" s="2" t="s">
        <v>923</v>
      </c>
      <c r="I254" s="1" t="s">
        <v>714</v>
      </c>
      <c r="J254" s="1" t="s">
        <v>28</v>
      </c>
      <c r="K254" s="6" t="s">
        <v>40</v>
      </c>
      <c r="L254" s="1"/>
    </row>
    <row r="255" spans="1:12" ht="15.75" customHeight="1">
      <c r="A255" s="1" t="s">
        <v>924</v>
      </c>
      <c r="B255" s="2" t="s">
        <v>710</v>
      </c>
      <c r="C255" s="2" t="s">
        <v>697</v>
      </c>
      <c r="D255" s="2" t="s">
        <v>698</v>
      </c>
      <c r="E255" s="2" t="s">
        <v>711</v>
      </c>
      <c r="F255" s="2" t="s">
        <v>126</v>
      </c>
      <c r="G255" s="8" t="s">
        <v>712</v>
      </c>
      <c r="H255" s="2" t="s">
        <v>925</v>
      </c>
      <c r="I255" s="1" t="s">
        <v>798</v>
      </c>
      <c r="J255" s="1" t="s">
        <v>19</v>
      </c>
      <c r="K255" s="6" t="s">
        <v>40</v>
      </c>
      <c r="L255" s="1"/>
    </row>
    <row r="256" spans="1:12" ht="15.75" customHeight="1">
      <c r="A256" s="1" t="s">
        <v>926</v>
      </c>
      <c r="B256" s="2" t="s">
        <v>927</v>
      </c>
      <c r="C256" s="2" t="s">
        <v>697</v>
      </c>
      <c r="D256" s="2" t="s">
        <v>698</v>
      </c>
      <c r="E256" s="2" t="s">
        <v>928</v>
      </c>
      <c r="F256" s="2" t="s">
        <v>180</v>
      </c>
      <c r="G256" s="8" t="s">
        <v>929</v>
      </c>
      <c r="H256" s="2" t="s">
        <v>930</v>
      </c>
      <c r="I256" s="1" t="s">
        <v>708</v>
      </c>
      <c r="J256" s="1" t="s">
        <v>35</v>
      </c>
      <c r="K256" s="6" t="s">
        <v>40</v>
      </c>
      <c r="L256" s="1"/>
    </row>
    <row r="257" spans="1:12" ht="15.75" customHeight="1">
      <c r="A257" s="1" t="s">
        <v>931</v>
      </c>
      <c r="B257" s="2" t="s">
        <v>749</v>
      </c>
      <c r="C257" s="2" t="s">
        <v>697</v>
      </c>
      <c r="D257" s="2" t="s">
        <v>698</v>
      </c>
      <c r="E257" s="2" t="s">
        <v>750</v>
      </c>
      <c r="F257" s="2" t="s">
        <v>157</v>
      </c>
      <c r="G257" s="8" t="s">
        <v>751</v>
      </c>
      <c r="H257" s="2" t="s">
        <v>932</v>
      </c>
      <c r="I257" s="1" t="s">
        <v>798</v>
      </c>
      <c r="J257" s="1" t="s">
        <v>19</v>
      </c>
      <c r="K257" s="6" t="s">
        <v>40</v>
      </c>
      <c r="L257" s="1"/>
    </row>
    <row r="258" spans="1:12" ht="15.75" customHeight="1">
      <c r="A258" s="1" t="s">
        <v>933</v>
      </c>
      <c r="B258" s="2" t="s">
        <v>742</v>
      </c>
      <c r="C258" s="2" t="s">
        <v>697</v>
      </c>
      <c r="D258" s="2" t="s">
        <v>698</v>
      </c>
      <c r="E258" s="2" t="s">
        <v>743</v>
      </c>
      <c r="F258" s="2" t="s">
        <v>126</v>
      </c>
      <c r="G258" s="8" t="s">
        <v>744</v>
      </c>
      <c r="H258" s="2" t="s">
        <v>934</v>
      </c>
      <c r="I258" s="1" t="s">
        <v>708</v>
      </c>
      <c r="J258" s="1" t="s">
        <v>35</v>
      </c>
      <c r="K258" s="6" t="s">
        <v>40</v>
      </c>
      <c r="L258" s="1"/>
    </row>
    <row r="259" spans="1:12" ht="15.75" customHeight="1">
      <c r="A259" s="1" t="s">
        <v>935</v>
      </c>
      <c r="B259" s="2" t="s">
        <v>927</v>
      </c>
      <c r="C259" s="2" t="s">
        <v>697</v>
      </c>
      <c r="D259" s="2" t="s">
        <v>698</v>
      </c>
      <c r="E259" s="2" t="s">
        <v>928</v>
      </c>
      <c r="F259" s="2" t="s">
        <v>180</v>
      </c>
      <c r="G259" s="8" t="s">
        <v>929</v>
      </c>
      <c r="H259" s="2" t="s">
        <v>936</v>
      </c>
      <c r="I259" s="1" t="s">
        <v>798</v>
      </c>
      <c r="J259" s="1" t="s">
        <v>19</v>
      </c>
      <c r="K259" s="6" t="s">
        <v>40</v>
      </c>
      <c r="L259" s="1"/>
    </row>
    <row r="260" spans="1:12" ht="15.75" customHeight="1">
      <c r="A260" s="1" t="s">
        <v>937</v>
      </c>
      <c r="B260" s="2" t="s">
        <v>774</v>
      </c>
      <c r="C260" s="2" t="s">
        <v>697</v>
      </c>
      <c r="D260" s="2" t="s">
        <v>698</v>
      </c>
      <c r="E260" s="2" t="s">
        <v>775</v>
      </c>
      <c r="F260" s="2" t="s">
        <v>24</v>
      </c>
      <c r="G260" s="8" t="s">
        <v>776</v>
      </c>
      <c r="H260" s="2" t="s">
        <v>938</v>
      </c>
      <c r="I260" s="1" t="s">
        <v>714</v>
      </c>
      <c r="J260" s="1" t="s">
        <v>28</v>
      </c>
      <c r="K260" s="6" t="s">
        <v>40</v>
      </c>
      <c r="L260" s="1"/>
    </row>
    <row r="261" spans="1:12" ht="15.75" customHeight="1">
      <c r="A261" s="1" t="s">
        <v>939</v>
      </c>
      <c r="B261" s="2" t="s">
        <v>940</v>
      </c>
      <c r="C261" s="2" t="s">
        <v>697</v>
      </c>
      <c r="D261" s="2" t="s">
        <v>698</v>
      </c>
      <c r="E261" s="2" t="s">
        <v>941</v>
      </c>
      <c r="F261" s="2" t="s">
        <v>284</v>
      </c>
      <c r="G261" s="8" t="s">
        <v>942</v>
      </c>
      <c r="H261" s="2" t="s">
        <v>943</v>
      </c>
      <c r="I261" s="1" t="s">
        <v>100</v>
      </c>
      <c r="J261" s="1" t="s">
        <v>78</v>
      </c>
      <c r="K261" s="6" t="s">
        <v>40</v>
      </c>
      <c r="L261" s="1"/>
    </row>
    <row r="262" spans="1:12" ht="15.75" customHeight="1">
      <c r="A262" s="1" t="s">
        <v>944</v>
      </c>
      <c r="B262" s="2" t="s">
        <v>809</v>
      </c>
      <c r="C262" s="2" t="s">
        <v>697</v>
      </c>
      <c r="D262" s="2" t="s">
        <v>698</v>
      </c>
      <c r="E262" s="2" t="s">
        <v>810</v>
      </c>
      <c r="F262" s="2" t="s">
        <v>157</v>
      </c>
      <c r="G262" s="8" t="s">
        <v>811</v>
      </c>
      <c r="H262" s="2" t="s">
        <v>945</v>
      </c>
      <c r="I262" s="1" t="s">
        <v>714</v>
      </c>
      <c r="J262" s="1" t="s">
        <v>28</v>
      </c>
      <c r="K262" s="6" t="s">
        <v>40</v>
      </c>
      <c r="L262" s="1"/>
    </row>
    <row r="263" spans="1:12" ht="15.75" customHeight="1">
      <c r="A263" s="1" t="s">
        <v>946</v>
      </c>
      <c r="B263" s="2" t="s">
        <v>814</v>
      </c>
      <c r="C263" s="2" t="s">
        <v>697</v>
      </c>
      <c r="D263" s="2" t="s">
        <v>698</v>
      </c>
      <c r="E263" s="2" t="s">
        <v>815</v>
      </c>
      <c r="F263" s="2" t="s">
        <v>120</v>
      </c>
      <c r="G263" s="8" t="s">
        <v>816</v>
      </c>
      <c r="H263" s="2" t="s">
        <v>947</v>
      </c>
      <c r="I263" s="1" t="s">
        <v>702</v>
      </c>
      <c r="J263" s="1" t="s">
        <v>50</v>
      </c>
      <c r="K263" s="6" t="s">
        <v>40</v>
      </c>
      <c r="L263" s="1"/>
    </row>
    <row r="264" spans="1:12" ht="15.75" customHeight="1">
      <c r="A264" s="1" t="s">
        <v>948</v>
      </c>
      <c r="B264" s="2" t="s">
        <v>809</v>
      </c>
      <c r="C264" s="2" t="s">
        <v>697</v>
      </c>
      <c r="D264" s="2" t="s">
        <v>698</v>
      </c>
      <c r="E264" s="2" t="s">
        <v>810</v>
      </c>
      <c r="F264" s="2" t="s">
        <v>157</v>
      </c>
      <c r="G264" s="8" t="s">
        <v>811</v>
      </c>
      <c r="H264" s="2" t="s">
        <v>949</v>
      </c>
      <c r="I264" s="1" t="s">
        <v>714</v>
      </c>
      <c r="J264" s="1" t="s">
        <v>28</v>
      </c>
      <c r="K264" s="6" t="s">
        <v>40</v>
      </c>
      <c r="L264" s="1"/>
    </row>
    <row r="265" spans="1:12" ht="15.75" customHeight="1">
      <c r="A265" s="1" t="s">
        <v>950</v>
      </c>
      <c r="B265" s="2" t="s">
        <v>790</v>
      </c>
      <c r="C265" s="2" t="s">
        <v>697</v>
      </c>
      <c r="D265" s="2" t="s">
        <v>698</v>
      </c>
      <c r="E265" s="2" t="s">
        <v>791</v>
      </c>
      <c r="F265" s="2" t="s">
        <v>330</v>
      </c>
      <c r="G265" s="8" t="s">
        <v>792</v>
      </c>
      <c r="H265" s="2" t="s">
        <v>951</v>
      </c>
      <c r="I265" s="1" t="s">
        <v>714</v>
      </c>
      <c r="J265" s="1" t="s">
        <v>28</v>
      </c>
      <c r="K265" s="6" t="s">
        <v>40</v>
      </c>
      <c r="L265" s="1"/>
    </row>
    <row r="266" spans="1:12" ht="15.75" customHeight="1">
      <c r="A266" s="1" t="s">
        <v>952</v>
      </c>
      <c r="B266" s="2" t="s">
        <v>774</v>
      </c>
      <c r="C266" s="2" t="s">
        <v>697</v>
      </c>
      <c r="D266" s="2" t="s">
        <v>698</v>
      </c>
      <c r="E266" s="2" t="s">
        <v>775</v>
      </c>
      <c r="F266" s="2" t="s">
        <v>24</v>
      </c>
      <c r="G266" s="8" t="s">
        <v>776</v>
      </c>
      <c r="H266" s="2" t="s">
        <v>953</v>
      </c>
      <c r="I266" s="1" t="s">
        <v>708</v>
      </c>
      <c r="J266" s="1" t="s">
        <v>35</v>
      </c>
      <c r="K266" s="6" t="s">
        <v>40</v>
      </c>
      <c r="L266" s="1"/>
    </row>
    <row r="267" spans="1:12" ht="15.75" customHeight="1">
      <c r="A267" s="1" t="s">
        <v>954</v>
      </c>
      <c r="B267" s="2" t="s">
        <v>759</v>
      </c>
      <c r="C267" s="2" t="s">
        <v>697</v>
      </c>
      <c r="D267" s="2" t="s">
        <v>698</v>
      </c>
      <c r="E267" s="2" t="s">
        <v>760</v>
      </c>
      <c r="F267" s="2" t="s">
        <v>46</v>
      </c>
      <c r="G267" s="8" t="s">
        <v>761</v>
      </c>
      <c r="H267" s="2" t="s">
        <v>955</v>
      </c>
      <c r="I267" s="1" t="s">
        <v>708</v>
      </c>
      <c r="J267" s="1" t="s">
        <v>35</v>
      </c>
      <c r="K267" s="6" t="s">
        <v>40</v>
      </c>
      <c r="L267" s="1"/>
    </row>
    <row r="268" spans="1:12" ht="15.75" customHeight="1">
      <c r="A268" s="1" t="s">
        <v>956</v>
      </c>
      <c r="B268" s="2" t="s">
        <v>814</v>
      </c>
      <c r="C268" s="2" t="s">
        <v>697</v>
      </c>
      <c r="D268" s="2" t="s">
        <v>698</v>
      </c>
      <c r="E268" s="2" t="s">
        <v>815</v>
      </c>
      <c r="F268" s="2" t="s">
        <v>120</v>
      </c>
      <c r="G268" s="8" t="s">
        <v>816</v>
      </c>
      <c r="H268" s="2" t="s">
        <v>957</v>
      </c>
      <c r="I268" s="1" t="s">
        <v>714</v>
      </c>
      <c r="J268" s="1" t="s">
        <v>28</v>
      </c>
      <c r="K268" s="6" t="s">
        <v>40</v>
      </c>
      <c r="L268" s="1"/>
    </row>
    <row r="269" spans="1:12" ht="15.75" customHeight="1">
      <c r="A269" s="1" t="s">
        <v>958</v>
      </c>
      <c r="B269" s="2" t="s">
        <v>774</v>
      </c>
      <c r="C269" s="2" t="s">
        <v>697</v>
      </c>
      <c r="D269" s="2" t="s">
        <v>698</v>
      </c>
      <c r="E269" s="2" t="s">
        <v>775</v>
      </c>
      <c r="F269" s="2" t="s">
        <v>24</v>
      </c>
      <c r="G269" s="8" t="s">
        <v>776</v>
      </c>
      <c r="H269" s="2" t="s">
        <v>959</v>
      </c>
      <c r="I269" s="1" t="s">
        <v>714</v>
      </c>
      <c r="J269" s="1" t="s">
        <v>28</v>
      </c>
      <c r="K269" s="6" t="s">
        <v>40</v>
      </c>
      <c r="L269" s="1"/>
    </row>
    <row r="270" spans="1:12" ht="15.75" customHeight="1">
      <c r="A270" s="1" t="s">
        <v>960</v>
      </c>
      <c r="B270" s="2" t="s">
        <v>704</v>
      </c>
      <c r="C270" s="2" t="s">
        <v>697</v>
      </c>
      <c r="D270" s="2" t="s">
        <v>698</v>
      </c>
      <c r="E270" s="2" t="s">
        <v>705</v>
      </c>
      <c r="F270" s="2" t="s">
        <v>15</v>
      </c>
      <c r="G270" s="8" t="s">
        <v>706</v>
      </c>
      <c r="H270" s="2" t="s">
        <v>961</v>
      </c>
      <c r="I270" s="1" t="s">
        <v>708</v>
      </c>
      <c r="J270" s="1" t="s">
        <v>35</v>
      </c>
      <c r="K270" s="6" t="s">
        <v>40</v>
      </c>
      <c r="L270" s="1"/>
    </row>
    <row r="271" spans="1:12" ht="15.75" customHeight="1">
      <c r="A271" s="1" t="s">
        <v>962</v>
      </c>
      <c r="B271" s="2" t="s">
        <v>927</v>
      </c>
      <c r="C271" s="2" t="s">
        <v>697</v>
      </c>
      <c r="D271" s="2" t="s">
        <v>698</v>
      </c>
      <c r="E271" s="2" t="s">
        <v>928</v>
      </c>
      <c r="F271" s="2" t="s">
        <v>180</v>
      </c>
      <c r="G271" s="8" t="s">
        <v>929</v>
      </c>
      <c r="H271" s="2" t="s">
        <v>963</v>
      </c>
      <c r="I271" s="1" t="s">
        <v>714</v>
      </c>
      <c r="J271" s="1" t="s">
        <v>28</v>
      </c>
      <c r="K271" s="6" t="s">
        <v>40</v>
      </c>
      <c r="L271" s="1"/>
    </row>
    <row r="272" spans="1:12" ht="15.75" customHeight="1">
      <c r="A272" s="1" t="s">
        <v>964</v>
      </c>
      <c r="B272" s="2" t="s">
        <v>696</v>
      </c>
      <c r="C272" s="2" t="s">
        <v>697</v>
      </c>
      <c r="D272" s="2" t="s">
        <v>698</v>
      </c>
      <c r="E272" s="2" t="s">
        <v>699</v>
      </c>
      <c r="F272" s="2" t="s">
        <v>89</v>
      </c>
      <c r="G272" s="8" t="s">
        <v>700</v>
      </c>
      <c r="H272" s="2" t="s">
        <v>965</v>
      </c>
      <c r="I272" s="1" t="s">
        <v>702</v>
      </c>
      <c r="J272" s="1" t="s">
        <v>50</v>
      </c>
      <c r="K272" s="6" t="s">
        <v>40</v>
      </c>
      <c r="L272" s="1"/>
    </row>
    <row r="273" spans="1:12" ht="15.75" customHeight="1">
      <c r="A273" s="1" t="s">
        <v>966</v>
      </c>
      <c r="B273" s="2" t="s">
        <v>742</v>
      </c>
      <c r="C273" s="2" t="s">
        <v>697</v>
      </c>
      <c r="D273" s="2" t="s">
        <v>698</v>
      </c>
      <c r="E273" s="2" t="s">
        <v>743</v>
      </c>
      <c r="F273" s="2" t="s">
        <v>126</v>
      </c>
      <c r="G273" s="8" t="s">
        <v>744</v>
      </c>
      <c r="H273" s="2" t="s">
        <v>967</v>
      </c>
      <c r="I273" s="1" t="s">
        <v>100</v>
      </c>
      <c r="J273" s="1" t="s">
        <v>78</v>
      </c>
      <c r="K273" s="6" t="s">
        <v>40</v>
      </c>
      <c r="L273" s="1"/>
    </row>
    <row r="274" spans="1:12" ht="15.75" customHeight="1">
      <c r="A274" s="1" t="s">
        <v>968</v>
      </c>
      <c r="B274" s="2" t="s">
        <v>716</v>
      </c>
      <c r="C274" s="2" t="s">
        <v>697</v>
      </c>
      <c r="D274" s="2" t="s">
        <v>698</v>
      </c>
      <c r="E274" s="2" t="s">
        <v>717</v>
      </c>
      <c r="F274" s="2" t="s">
        <v>120</v>
      </c>
      <c r="G274" s="8" t="s">
        <v>718</v>
      </c>
      <c r="H274" s="2" t="s">
        <v>969</v>
      </c>
      <c r="I274" s="1" t="s">
        <v>702</v>
      </c>
      <c r="J274" s="1" t="s">
        <v>50</v>
      </c>
      <c r="K274" s="6" t="s">
        <v>40</v>
      </c>
      <c r="L274" s="1"/>
    </row>
    <row r="275" spans="1:12" ht="15.75" customHeight="1">
      <c r="A275" s="1" t="s">
        <v>970</v>
      </c>
      <c r="B275" s="2" t="s">
        <v>759</v>
      </c>
      <c r="C275" s="2" t="s">
        <v>697</v>
      </c>
      <c r="D275" s="2" t="s">
        <v>698</v>
      </c>
      <c r="E275" s="2" t="s">
        <v>760</v>
      </c>
      <c r="F275" s="2" t="s">
        <v>46</v>
      </c>
      <c r="G275" s="8" t="s">
        <v>761</v>
      </c>
      <c r="H275" s="2" t="s">
        <v>971</v>
      </c>
      <c r="I275" s="1" t="s">
        <v>702</v>
      </c>
      <c r="J275" s="1" t="s">
        <v>50</v>
      </c>
      <c r="K275" s="6" t="s">
        <v>40</v>
      </c>
      <c r="L275" s="1"/>
    </row>
    <row r="276" spans="1:12" ht="15.75" customHeight="1">
      <c r="A276" s="1" t="s">
        <v>972</v>
      </c>
      <c r="B276" s="2" t="s">
        <v>710</v>
      </c>
      <c r="C276" s="2" t="s">
        <v>697</v>
      </c>
      <c r="D276" s="2" t="s">
        <v>698</v>
      </c>
      <c r="E276" s="2" t="s">
        <v>711</v>
      </c>
      <c r="F276" s="2" t="s">
        <v>126</v>
      </c>
      <c r="G276" s="8" t="s">
        <v>712</v>
      </c>
      <c r="H276" s="2" t="s">
        <v>973</v>
      </c>
      <c r="I276" s="1" t="s">
        <v>708</v>
      </c>
      <c r="J276" s="1" t="s">
        <v>35</v>
      </c>
      <c r="K276" s="6" t="s">
        <v>40</v>
      </c>
      <c r="L276" s="1"/>
    </row>
    <row r="277" spans="1:12" ht="15.75" customHeight="1">
      <c r="A277" s="1" t="s">
        <v>974</v>
      </c>
      <c r="B277" s="2" t="s">
        <v>710</v>
      </c>
      <c r="C277" s="2" t="s">
        <v>697</v>
      </c>
      <c r="D277" s="2" t="s">
        <v>698</v>
      </c>
      <c r="E277" s="2" t="s">
        <v>711</v>
      </c>
      <c r="F277" s="2" t="s">
        <v>126</v>
      </c>
      <c r="G277" s="8" t="s">
        <v>712</v>
      </c>
      <c r="H277" s="2" t="s">
        <v>975</v>
      </c>
      <c r="I277" s="1" t="s">
        <v>798</v>
      </c>
      <c r="J277" s="1" t="s">
        <v>19</v>
      </c>
      <c r="K277" s="6" t="s">
        <v>40</v>
      </c>
      <c r="L277" s="1"/>
    </row>
    <row r="278" spans="1:12" ht="15.75" customHeight="1">
      <c r="A278" s="1" t="s">
        <v>976</v>
      </c>
      <c r="B278" s="2" t="s">
        <v>814</v>
      </c>
      <c r="C278" s="2" t="s">
        <v>697</v>
      </c>
      <c r="D278" s="2" t="s">
        <v>698</v>
      </c>
      <c r="E278" s="2" t="s">
        <v>815</v>
      </c>
      <c r="F278" s="2" t="s">
        <v>120</v>
      </c>
      <c r="G278" s="8" t="s">
        <v>816</v>
      </c>
      <c r="H278" s="2" t="s">
        <v>977</v>
      </c>
      <c r="I278" s="1" t="s">
        <v>708</v>
      </c>
      <c r="J278" s="1" t="s">
        <v>35</v>
      </c>
      <c r="K278" s="6" t="s">
        <v>40</v>
      </c>
      <c r="L278" s="1"/>
    </row>
    <row r="279" spans="1:12" ht="15.75" customHeight="1">
      <c r="A279" s="1" t="s">
        <v>978</v>
      </c>
      <c r="B279" s="2" t="s">
        <v>728</v>
      </c>
      <c r="C279" s="2" t="s">
        <v>697</v>
      </c>
      <c r="D279" s="2" t="s">
        <v>698</v>
      </c>
      <c r="E279" s="2" t="s">
        <v>729</v>
      </c>
      <c r="F279" s="2" t="s">
        <v>24</v>
      </c>
      <c r="G279" s="8" t="s">
        <v>730</v>
      </c>
      <c r="H279" s="2" t="s">
        <v>979</v>
      </c>
      <c r="I279" s="1" t="s">
        <v>798</v>
      </c>
      <c r="J279" s="1" t="s">
        <v>19</v>
      </c>
      <c r="K279" s="6" t="s">
        <v>40</v>
      </c>
      <c r="L279" s="1"/>
    </row>
    <row r="280" spans="1:12" ht="15.75" customHeight="1">
      <c r="A280" s="1" t="s">
        <v>980</v>
      </c>
      <c r="B280" s="2" t="s">
        <v>774</v>
      </c>
      <c r="C280" s="2" t="s">
        <v>697</v>
      </c>
      <c r="D280" s="2" t="s">
        <v>698</v>
      </c>
      <c r="E280" s="2" t="s">
        <v>775</v>
      </c>
      <c r="F280" s="2" t="s">
        <v>24</v>
      </c>
      <c r="G280" s="8" t="s">
        <v>776</v>
      </c>
      <c r="H280" s="2" t="s">
        <v>981</v>
      </c>
      <c r="I280" s="1" t="s">
        <v>714</v>
      </c>
      <c r="J280" s="1" t="s">
        <v>28</v>
      </c>
      <c r="K280" s="6" t="s">
        <v>40</v>
      </c>
      <c r="L280" s="1"/>
    </row>
    <row r="281" spans="1:12" ht="15.75" customHeight="1">
      <c r="A281" s="1" t="s">
        <v>982</v>
      </c>
      <c r="B281" s="2" t="s">
        <v>774</v>
      </c>
      <c r="C281" s="2" t="s">
        <v>697</v>
      </c>
      <c r="D281" s="2" t="s">
        <v>698</v>
      </c>
      <c r="E281" s="2" t="s">
        <v>775</v>
      </c>
      <c r="F281" s="2" t="s">
        <v>24</v>
      </c>
      <c r="G281" s="8" t="s">
        <v>776</v>
      </c>
      <c r="H281" s="2" t="s">
        <v>983</v>
      </c>
      <c r="I281" s="1" t="s">
        <v>708</v>
      </c>
      <c r="J281" s="1" t="s">
        <v>35</v>
      </c>
      <c r="K281" s="6" t="s">
        <v>40</v>
      </c>
      <c r="L281" s="1"/>
    </row>
    <row r="282" spans="1:12" ht="15.75" customHeight="1">
      <c r="A282" s="1" t="s">
        <v>984</v>
      </c>
      <c r="B282" s="2" t="s">
        <v>733</v>
      </c>
      <c r="C282" s="2" t="s">
        <v>697</v>
      </c>
      <c r="D282" s="2" t="s">
        <v>698</v>
      </c>
      <c r="E282" s="2" t="s">
        <v>734</v>
      </c>
      <c r="F282" s="2" t="s">
        <v>120</v>
      </c>
      <c r="G282" s="8" t="s">
        <v>735</v>
      </c>
      <c r="H282" s="2" t="s">
        <v>985</v>
      </c>
      <c r="I282" s="1" t="s">
        <v>708</v>
      </c>
      <c r="J282" s="1" t="s">
        <v>35</v>
      </c>
      <c r="K282" s="6" t="s">
        <v>40</v>
      </c>
      <c r="L282" s="1"/>
    </row>
    <row r="283" spans="1:12" ht="15.75" customHeight="1">
      <c r="A283" s="1" t="s">
        <v>986</v>
      </c>
      <c r="B283" s="2" t="s">
        <v>927</v>
      </c>
      <c r="C283" s="2" t="s">
        <v>697</v>
      </c>
      <c r="D283" s="2" t="s">
        <v>698</v>
      </c>
      <c r="E283" s="2" t="s">
        <v>928</v>
      </c>
      <c r="F283" s="2" t="s">
        <v>180</v>
      </c>
      <c r="G283" s="8" t="s">
        <v>929</v>
      </c>
      <c r="H283" s="2" t="s">
        <v>987</v>
      </c>
      <c r="I283" s="1" t="s">
        <v>798</v>
      </c>
      <c r="J283" s="1" t="s">
        <v>19</v>
      </c>
      <c r="K283" s="6" t="s">
        <v>40</v>
      </c>
      <c r="L283" s="1"/>
    </row>
    <row r="284" spans="1:12" ht="15.75" customHeight="1">
      <c r="A284" s="1" t="s">
        <v>988</v>
      </c>
      <c r="B284" s="2" t="s">
        <v>927</v>
      </c>
      <c r="C284" s="2" t="s">
        <v>697</v>
      </c>
      <c r="D284" s="2" t="s">
        <v>698</v>
      </c>
      <c r="E284" s="2" t="s">
        <v>928</v>
      </c>
      <c r="F284" s="2" t="s">
        <v>180</v>
      </c>
      <c r="G284" s="8" t="s">
        <v>929</v>
      </c>
      <c r="H284" s="2" t="s">
        <v>989</v>
      </c>
      <c r="I284" s="1" t="s">
        <v>702</v>
      </c>
      <c r="J284" s="1" t="s">
        <v>50</v>
      </c>
      <c r="K284" s="6" t="s">
        <v>40</v>
      </c>
      <c r="L284" s="1"/>
    </row>
    <row r="285" spans="1:12" ht="15.75" customHeight="1">
      <c r="A285" s="1" t="s">
        <v>990</v>
      </c>
      <c r="B285" s="2" t="s">
        <v>723</v>
      </c>
      <c r="C285" s="2" t="s">
        <v>697</v>
      </c>
      <c r="D285" s="2" t="s">
        <v>698</v>
      </c>
      <c r="E285" s="2" t="s">
        <v>724</v>
      </c>
      <c r="F285" s="2" t="s">
        <v>140</v>
      </c>
      <c r="G285" s="8" t="s">
        <v>725</v>
      </c>
      <c r="H285" s="2" t="s">
        <v>991</v>
      </c>
      <c r="I285" s="1" t="s">
        <v>714</v>
      </c>
      <c r="J285" s="1" t="s">
        <v>28</v>
      </c>
      <c r="K285" s="6" t="s">
        <v>40</v>
      </c>
      <c r="L285" s="1"/>
    </row>
    <row r="286" spans="1:12" ht="15.75" customHeight="1">
      <c r="A286" s="1" t="s">
        <v>992</v>
      </c>
      <c r="B286" s="2" t="s">
        <v>728</v>
      </c>
      <c r="C286" s="2" t="s">
        <v>697</v>
      </c>
      <c r="D286" s="2" t="s">
        <v>698</v>
      </c>
      <c r="E286" s="2" t="s">
        <v>729</v>
      </c>
      <c r="F286" s="2" t="s">
        <v>24</v>
      </c>
      <c r="G286" s="8" t="s">
        <v>730</v>
      </c>
      <c r="H286" s="2" t="s">
        <v>993</v>
      </c>
      <c r="I286" s="1" t="s">
        <v>100</v>
      </c>
      <c r="J286" s="1" t="s">
        <v>78</v>
      </c>
      <c r="K286" s="6" t="s">
        <v>40</v>
      </c>
      <c r="L286" s="1"/>
    </row>
    <row r="287" spans="1:12" ht="15.75" customHeight="1">
      <c r="A287" s="1" t="s">
        <v>994</v>
      </c>
      <c r="B287" s="2" t="s">
        <v>728</v>
      </c>
      <c r="C287" s="2" t="s">
        <v>697</v>
      </c>
      <c r="D287" s="2" t="s">
        <v>698</v>
      </c>
      <c r="E287" s="2" t="s">
        <v>729</v>
      </c>
      <c r="F287" s="2" t="s">
        <v>24</v>
      </c>
      <c r="G287" s="8" t="s">
        <v>730</v>
      </c>
      <c r="H287" s="4" t="s">
        <v>995</v>
      </c>
      <c r="I287" s="1" t="s">
        <v>798</v>
      </c>
      <c r="J287" s="1" t="s">
        <v>19</v>
      </c>
      <c r="K287" s="6" t="s">
        <v>40</v>
      </c>
      <c r="L287" s="1"/>
    </row>
    <row r="288" spans="1:12" ht="15.75" customHeight="1">
      <c r="A288" s="1" t="s">
        <v>996</v>
      </c>
      <c r="B288" s="2" t="s">
        <v>696</v>
      </c>
      <c r="C288" s="2" t="s">
        <v>697</v>
      </c>
      <c r="D288" s="2" t="s">
        <v>698</v>
      </c>
      <c r="E288" s="2" t="s">
        <v>699</v>
      </c>
      <c r="F288" s="2" t="s">
        <v>89</v>
      </c>
      <c r="G288" s="8" t="s">
        <v>700</v>
      </c>
      <c r="H288" s="2" t="s">
        <v>997</v>
      </c>
      <c r="I288" s="1" t="s">
        <v>702</v>
      </c>
      <c r="J288" s="1" t="s">
        <v>50</v>
      </c>
      <c r="K288" s="6" t="s">
        <v>40</v>
      </c>
      <c r="L288" s="1"/>
    </row>
    <row r="289" spans="1:12" ht="15.75" customHeight="1">
      <c r="A289" s="1" t="s">
        <v>998</v>
      </c>
      <c r="B289" s="2" t="s">
        <v>696</v>
      </c>
      <c r="C289" s="2" t="s">
        <v>697</v>
      </c>
      <c r="D289" s="2" t="s">
        <v>698</v>
      </c>
      <c r="E289" s="2" t="s">
        <v>699</v>
      </c>
      <c r="F289" s="2" t="s">
        <v>89</v>
      </c>
      <c r="G289" s="8" t="s">
        <v>700</v>
      </c>
      <c r="H289" s="2" t="s">
        <v>999</v>
      </c>
      <c r="I289" s="1" t="s">
        <v>714</v>
      </c>
      <c r="J289" s="1" t="s">
        <v>28</v>
      </c>
      <c r="K289" s="6" t="s">
        <v>40</v>
      </c>
      <c r="L289" s="1"/>
    </row>
    <row r="290" spans="1:12" ht="15.75" customHeight="1">
      <c r="A290" s="1" t="s">
        <v>1000</v>
      </c>
      <c r="B290" s="2" t="s">
        <v>716</v>
      </c>
      <c r="C290" s="2" t="s">
        <v>697</v>
      </c>
      <c r="D290" s="2" t="s">
        <v>698</v>
      </c>
      <c r="E290" s="2" t="s">
        <v>717</v>
      </c>
      <c r="F290" s="2" t="s">
        <v>120</v>
      </c>
      <c r="G290" s="8" t="s">
        <v>718</v>
      </c>
      <c r="H290" s="2" t="s">
        <v>1001</v>
      </c>
      <c r="I290" s="1" t="s">
        <v>714</v>
      </c>
      <c r="J290" s="1" t="s">
        <v>28</v>
      </c>
      <c r="K290" s="6" t="s">
        <v>40</v>
      </c>
      <c r="L290" s="1"/>
    </row>
    <row r="291" spans="1:12" ht="15.75" customHeight="1">
      <c r="A291" s="1" t="s">
        <v>1002</v>
      </c>
      <c r="B291" s="2" t="s">
        <v>716</v>
      </c>
      <c r="C291" s="2" t="s">
        <v>697</v>
      </c>
      <c r="D291" s="2" t="s">
        <v>698</v>
      </c>
      <c r="E291" s="2" t="s">
        <v>717</v>
      </c>
      <c r="F291" s="2" t="s">
        <v>120</v>
      </c>
      <c r="G291" s="8" t="s">
        <v>718</v>
      </c>
      <c r="H291" s="2" t="s">
        <v>1003</v>
      </c>
      <c r="I291" s="1" t="s">
        <v>708</v>
      </c>
      <c r="J291" s="1" t="s">
        <v>35</v>
      </c>
      <c r="K291" s="6" t="s">
        <v>40</v>
      </c>
      <c r="L291" s="1"/>
    </row>
    <row r="292" spans="1:12" ht="15.75" customHeight="1">
      <c r="A292" s="1" t="s">
        <v>1004</v>
      </c>
      <c r="B292" s="2" t="s">
        <v>742</v>
      </c>
      <c r="C292" s="2" t="s">
        <v>697</v>
      </c>
      <c r="D292" s="2" t="s">
        <v>698</v>
      </c>
      <c r="E292" s="2" t="s">
        <v>743</v>
      </c>
      <c r="F292" s="2" t="s">
        <v>126</v>
      </c>
      <c r="G292" s="8" t="s">
        <v>744</v>
      </c>
      <c r="H292" s="2" t="s">
        <v>1005</v>
      </c>
      <c r="I292" s="1" t="s">
        <v>708</v>
      </c>
      <c r="J292" s="1" t="s">
        <v>35</v>
      </c>
      <c r="K292" s="6" t="s">
        <v>40</v>
      </c>
      <c r="L292" s="1"/>
    </row>
    <row r="293" spans="1:12" ht="15.75" customHeight="1">
      <c r="A293" s="1" t="s">
        <v>1006</v>
      </c>
      <c r="B293" s="2" t="s">
        <v>840</v>
      </c>
      <c r="C293" s="2" t="s">
        <v>697</v>
      </c>
      <c r="D293" s="2" t="s">
        <v>698</v>
      </c>
      <c r="E293" s="2" t="s">
        <v>841</v>
      </c>
      <c r="F293" s="2" t="s">
        <v>46</v>
      </c>
      <c r="G293" s="8" t="s">
        <v>842</v>
      </c>
      <c r="H293" s="2" t="s">
        <v>1007</v>
      </c>
      <c r="I293" s="1" t="s">
        <v>798</v>
      </c>
      <c r="J293" s="1" t="s">
        <v>19</v>
      </c>
      <c r="K293" s="6" t="s">
        <v>40</v>
      </c>
      <c r="L293" s="1"/>
    </row>
    <row r="294" spans="1:12" ht="15.75" customHeight="1">
      <c r="A294" s="1" t="s">
        <v>1008</v>
      </c>
      <c r="B294" s="2" t="s">
        <v>704</v>
      </c>
      <c r="C294" s="2" t="s">
        <v>697</v>
      </c>
      <c r="D294" s="2" t="s">
        <v>698</v>
      </c>
      <c r="E294" s="2" t="s">
        <v>705</v>
      </c>
      <c r="F294" s="2" t="s">
        <v>15</v>
      </c>
      <c r="G294" s="8" t="s">
        <v>706</v>
      </c>
      <c r="H294" s="2" t="s">
        <v>1009</v>
      </c>
      <c r="I294" s="1" t="s">
        <v>798</v>
      </c>
      <c r="J294" s="1" t="s">
        <v>19</v>
      </c>
      <c r="K294" s="6" t="s">
        <v>40</v>
      </c>
      <c r="L294" s="1"/>
    </row>
    <row r="295" spans="1:12" ht="15.75" customHeight="1">
      <c r="A295" s="1" t="s">
        <v>1010</v>
      </c>
      <c r="B295" s="2" t="s">
        <v>704</v>
      </c>
      <c r="C295" s="2" t="s">
        <v>697</v>
      </c>
      <c r="D295" s="2" t="s">
        <v>698</v>
      </c>
      <c r="E295" s="2" t="s">
        <v>705</v>
      </c>
      <c r="F295" s="2" t="s">
        <v>15</v>
      </c>
      <c r="G295" s="8" t="s">
        <v>706</v>
      </c>
      <c r="H295" s="2" t="s">
        <v>1011</v>
      </c>
      <c r="I295" s="1" t="s">
        <v>714</v>
      </c>
      <c r="J295" s="1" t="s">
        <v>28</v>
      </c>
      <c r="K295" s="6" t="s">
        <v>40</v>
      </c>
      <c r="L295" s="1"/>
    </row>
    <row r="296" spans="1:12" ht="15.75" customHeight="1">
      <c r="A296" s="1" t="s">
        <v>1012</v>
      </c>
      <c r="B296" s="2" t="s">
        <v>927</v>
      </c>
      <c r="C296" s="2" t="s">
        <v>697</v>
      </c>
      <c r="D296" s="2" t="s">
        <v>698</v>
      </c>
      <c r="E296" s="2" t="s">
        <v>928</v>
      </c>
      <c r="F296" s="2" t="s">
        <v>180</v>
      </c>
      <c r="G296" s="8" t="s">
        <v>929</v>
      </c>
      <c r="H296" s="2" t="s">
        <v>1013</v>
      </c>
      <c r="I296" s="1" t="s">
        <v>708</v>
      </c>
      <c r="J296" s="1" t="s">
        <v>35</v>
      </c>
      <c r="K296" s="6" t="s">
        <v>40</v>
      </c>
      <c r="L296" s="1"/>
    </row>
    <row r="297" spans="1:12" ht="15.75" customHeight="1">
      <c r="A297" s="1" t="s">
        <v>1014</v>
      </c>
      <c r="B297" s="2" t="s">
        <v>728</v>
      </c>
      <c r="C297" s="2" t="s">
        <v>697</v>
      </c>
      <c r="D297" s="2" t="s">
        <v>698</v>
      </c>
      <c r="E297" s="2" t="s">
        <v>729</v>
      </c>
      <c r="F297" s="2" t="s">
        <v>24</v>
      </c>
      <c r="G297" s="8" t="s">
        <v>730</v>
      </c>
      <c r="H297" s="2" t="s">
        <v>1015</v>
      </c>
      <c r="I297" s="1" t="s">
        <v>708</v>
      </c>
      <c r="J297" s="1" t="s">
        <v>35</v>
      </c>
      <c r="K297" s="6" t="s">
        <v>40</v>
      </c>
      <c r="L297" s="1"/>
    </row>
    <row r="298" spans="1:12" ht="15.75" customHeight="1">
      <c r="A298" s="1" t="s">
        <v>1016</v>
      </c>
      <c r="B298" s="2" t="s">
        <v>728</v>
      </c>
      <c r="C298" s="2" t="s">
        <v>697</v>
      </c>
      <c r="D298" s="2" t="s">
        <v>698</v>
      </c>
      <c r="E298" s="2" t="s">
        <v>729</v>
      </c>
      <c r="F298" s="2" t="s">
        <v>24</v>
      </c>
      <c r="G298" s="8" t="s">
        <v>730</v>
      </c>
      <c r="H298" s="2" t="s">
        <v>1017</v>
      </c>
      <c r="I298" s="1" t="s">
        <v>100</v>
      </c>
      <c r="J298" s="1" t="s">
        <v>78</v>
      </c>
      <c r="K298" s="6" t="s">
        <v>40</v>
      </c>
      <c r="L298" s="1"/>
    </row>
    <row r="299" spans="1:12" ht="15.75" customHeight="1">
      <c r="A299" s="1" t="s">
        <v>1018</v>
      </c>
      <c r="B299" s="2" t="s">
        <v>840</v>
      </c>
      <c r="C299" s="2" t="s">
        <v>697</v>
      </c>
      <c r="D299" s="2" t="s">
        <v>698</v>
      </c>
      <c r="E299" s="2" t="s">
        <v>841</v>
      </c>
      <c r="F299" s="2" t="s">
        <v>46</v>
      </c>
      <c r="G299" s="8" t="s">
        <v>842</v>
      </c>
      <c r="H299" s="2" t="s">
        <v>1019</v>
      </c>
      <c r="I299" s="1" t="s">
        <v>798</v>
      </c>
      <c r="J299" s="1" t="s">
        <v>19</v>
      </c>
      <c r="K299" s="6" t="s">
        <v>40</v>
      </c>
      <c r="L299" s="1"/>
    </row>
    <row r="300" spans="1:12" ht="15.75" customHeight="1">
      <c r="A300" s="1" t="s">
        <v>1020</v>
      </c>
      <c r="B300" s="2" t="s">
        <v>728</v>
      </c>
      <c r="C300" s="2" t="s">
        <v>697</v>
      </c>
      <c r="D300" s="2" t="s">
        <v>698</v>
      </c>
      <c r="E300" s="2" t="s">
        <v>729</v>
      </c>
      <c r="F300" s="2" t="s">
        <v>24</v>
      </c>
      <c r="G300" s="8" t="s">
        <v>730</v>
      </c>
      <c r="H300" s="2" t="s">
        <v>1021</v>
      </c>
      <c r="I300" s="1" t="s">
        <v>798</v>
      </c>
      <c r="J300" s="1" t="s">
        <v>19</v>
      </c>
      <c r="K300" s="6" t="s">
        <v>40</v>
      </c>
      <c r="L300" s="1"/>
    </row>
    <row r="301" spans="1:12" ht="15.75" customHeight="1">
      <c r="A301" s="1" t="s">
        <v>1022</v>
      </c>
      <c r="B301" s="2" t="s">
        <v>728</v>
      </c>
      <c r="C301" s="2" t="s">
        <v>697</v>
      </c>
      <c r="D301" s="2" t="s">
        <v>698</v>
      </c>
      <c r="E301" s="2" t="s">
        <v>729</v>
      </c>
      <c r="F301" s="2" t="s">
        <v>24</v>
      </c>
      <c r="G301" s="8" t="s">
        <v>730</v>
      </c>
      <c r="H301" s="2" t="s">
        <v>1023</v>
      </c>
      <c r="I301" s="1" t="s">
        <v>798</v>
      </c>
      <c r="J301" s="1" t="s">
        <v>19</v>
      </c>
      <c r="K301" s="6" t="s">
        <v>40</v>
      </c>
      <c r="L301" s="1"/>
    </row>
    <row r="302" spans="1:12" ht="15.75" customHeight="1">
      <c r="A302" s="1" t="s">
        <v>1024</v>
      </c>
      <c r="B302" s="2" t="s">
        <v>809</v>
      </c>
      <c r="C302" s="2" t="s">
        <v>697</v>
      </c>
      <c r="D302" s="2" t="s">
        <v>698</v>
      </c>
      <c r="E302" s="2" t="s">
        <v>810</v>
      </c>
      <c r="F302" s="2" t="s">
        <v>157</v>
      </c>
      <c r="G302" s="8" t="s">
        <v>811</v>
      </c>
      <c r="H302" s="2" t="s">
        <v>1025</v>
      </c>
      <c r="I302" s="1" t="s">
        <v>708</v>
      </c>
      <c r="J302" s="1" t="s">
        <v>35</v>
      </c>
      <c r="K302" s="6" t="s">
        <v>40</v>
      </c>
      <c r="L302" s="1"/>
    </row>
    <row r="303" spans="1:12" ht="15.75" customHeight="1">
      <c r="A303" s="1" t="s">
        <v>1026</v>
      </c>
      <c r="B303" s="2" t="s">
        <v>704</v>
      </c>
      <c r="C303" s="2" t="s">
        <v>697</v>
      </c>
      <c r="D303" s="2" t="s">
        <v>698</v>
      </c>
      <c r="E303" s="2" t="s">
        <v>705</v>
      </c>
      <c r="F303" s="2" t="s">
        <v>15</v>
      </c>
      <c r="G303" s="8" t="s">
        <v>706</v>
      </c>
      <c r="H303" s="2" t="s">
        <v>1027</v>
      </c>
      <c r="I303" s="1" t="s">
        <v>702</v>
      </c>
      <c r="J303" s="1" t="s">
        <v>50</v>
      </c>
      <c r="K303" s="6" t="s">
        <v>40</v>
      </c>
      <c r="L303" s="1"/>
    </row>
    <row r="304" spans="1:12" ht="15.75" customHeight="1">
      <c r="A304" s="1" t="s">
        <v>1028</v>
      </c>
      <c r="B304" s="2" t="s">
        <v>759</v>
      </c>
      <c r="C304" s="2" t="s">
        <v>697</v>
      </c>
      <c r="D304" s="2" t="s">
        <v>698</v>
      </c>
      <c r="E304" s="2" t="s">
        <v>760</v>
      </c>
      <c r="F304" s="2" t="s">
        <v>46</v>
      </c>
      <c r="G304" s="8" t="s">
        <v>761</v>
      </c>
      <c r="H304" s="2" t="s">
        <v>1029</v>
      </c>
      <c r="I304" s="1" t="s">
        <v>714</v>
      </c>
      <c r="J304" s="1" t="s">
        <v>28</v>
      </c>
      <c r="K304" s="6" t="s">
        <v>40</v>
      </c>
      <c r="L304" s="1"/>
    </row>
    <row r="305" spans="1:12" ht="15.75" customHeight="1">
      <c r="A305" s="1" t="s">
        <v>1030</v>
      </c>
      <c r="B305" s="2" t="s">
        <v>696</v>
      </c>
      <c r="C305" s="2" t="s">
        <v>697</v>
      </c>
      <c r="D305" s="2" t="s">
        <v>698</v>
      </c>
      <c r="E305" s="2" t="s">
        <v>699</v>
      </c>
      <c r="F305" s="2" t="s">
        <v>89</v>
      </c>
      <c r="G305" s="8" t="s">
        <v>700</v>
      </c>
      <c r="H305" s="2" t="s">
        <v>1031</v>
      </c>
      <c r="I305" s="1" t="s">
        <v>798</v>
      </c>
      <c r="J305" s="1" t="s">
        <v>19</v>
      </c>
      <c r="K305" s="6" t="s">
        <v>40</v>
      </c>
      <c r="L305" s="1"/>
    </row>
    <row r="306" spans="1:12" ht="15.75" customHeight="1">
      <c r="A306" s="1" t="s">
        <v>1032</v>
      </c>
      <c r="B306" s="2" t="s">
        <v>829</v>
      </c>
      <c r="C306" s="2" t="s">
        <v>697</v>
      </c>
      <c r="D306" s="2" t="s">
        <v>698</v>
      </c>
      <c r="E306" s="2" t="s">
        <v>830</v>
      </c>
      <c r="F306" s="2" t="s">
        <v>180</v>
      </c>
      <c r="G306" s="8" t="s">
        <v>831</v>
      </c>
      <c r="H306" s="2" t="s">
        <v>1033</v>
      </c>
      <c r="I306" s="1" t="s">
        <v>702</v>
      </c>
      <c r="J306" s="1" t="s">
        <v>50</v>
      </c>
      <c r="K306" s="6" t="s">
        <v>40</v>
      </c>
      <c r="L306" s="1"/>
    </row>
    <row r="307" spans="1:12" ht="15.75" customHeight="1">
      <c r="A307" s="1" t="s">
        <v>1034</v>
      </c>
      <c r="B307" s="2" t="s">
        <v>716</v>
      </c>
      <c r="C307" s="2" t="s">
        <v>697</v>
      </c>
      <c r="D307" s="2" t="s">
        <v>698</v>
      </c>
      <c r="E307" s="2" t="s">
        <v>717</v>
      </c>
      <c r="F307" s="2" t="s">
        <v>120</v>
      </c>
      <c r="G307" s="8" t="s">
        <v>718</v>
      </c>
      <c r="H307" s="2" t="s">
        <v>1035</v>
      </c>
      <c r="I307" s="1" t="s">
        <v>798</v>
      </c>
      <c r="J307" s="1" t="s">
        <v>19</v>
      </c>
      <c r="K307" s="6" t="s">
        <v>40</v>
      </c>
      <c r="L307" s="1"/>
    </row>
    <row r="308" spans="1:12" ht="15.75" customHeight="1">
      <c r="A308" s="1" t="s">
        <v>1036</v>
      </c>
      <c r="B308" s="2" t="s">
        <v>759</v>
      </c>
      <c r="C308" s="2" t="s">
        <v>697</v>
      </c>
      <c r="D308" s="2" t="s">
        <v>698</v>
      </c>
      <c r="E308" s="2" t="s">
        <v>760</v>
      </c>
      <c r="F308" s="2" t="s">
        <v>46</v>
      </c>
      <c r="G308" s="8" t="s">
        <v>761</v>
      </c>
      <c r="H308" s="2" t="s">
        <v>1037</v>
      </c>
      <c r="I308" s="1" t="s">
        <v>708</v>
      </c>
      <c r="J308" s="1" t="s">
        <v>35</v>
      </c>
      <c r="K308" s="6" t="s">
        <v>40</v>
      </c>
      <c r="L308" s="1"/>
    </row>
    <row r="309" spans="1:12" ht="15.75" customHeight="1">
      <c r="A309" s="1" t="s">
        <v>1038</v>
      </c>
      <c r="B309" s="2" t="s">
        <v>800</v>
      </c>
      <c r="C309" s="2" t="s">
        <v>697</v>
      </c>
      <c r="D309" s="2" t="s">
        <v>698</v>
      </c>
      <c r="E309" s="2" t="s">
        <v>801</v>
      </c>
      <c r="F309" s="2" t="s">
        <v>46</v>
      </c>
      <c r="G309" s="8" t="s">
        <v>802</v>
      </c>
      <c r="H309" s="2" t="s">
        <v>1039</v>
      </c>
      <c r="I309" s="1" t="s">
        <v>798</v>
      </c>
      <c r="J309" s="1" t="s">
        <v>19</v>
      </c>
      <c r="K309" s="6" t="s">
        <v>40</v>
      </c>
      <c r="L309" s="1"/>
    </row>
    <row r="310" spans="1:12" ht="15.75" customHeight="1">
      <c r="A310" s="1" t="s">
        <v>1040</v>
      </c>
      <c r="B310" s="2" t="s">
        <v>759</v>
      </c>
      <c r="C310" s="2" t="s">
        <v>697</v>
      </c>
      <c r="D310" s="2" t="s">
        <v>698</v>
      </c>
      <c r="E310" s="2" t="s">
        <v>760</v>
      </c>
      <c r="F310" s="2" t="s">
        <v>46</v>
      </c>
      <c r="G310" s="8" t="s">
        <v>761</v>
      </c>
      <c r="H310" s="2" t="s">
        <v>1041</v>
      </c>
      <c r="I310" s="1" t="s">
        <v>708</v>
      </c>
      <c r="J310" s="1" t="s">
        <v>35</v>
      </c>
      <c r="K310" s="6" t="s">
        <v>40</v>
      </c>
      <c r="L310" s="1"/>
    </row>
    <row r="311" spans="1:12" ht="15.75" customHeight="1">
      <c r="A311" s="1" t="s">
        <v>1042</v>
      </c>
      <c r="B311" s="2" t="s">
        <v>704</v>
      </c>
      <c r="C311" s="2" t="s">
        <v>697</v>
      </c>
      <c r="D311" s="2" t="s">
        <v>698</v>
      </c>
      <c r="E311" s="2" t="s">
        <v>705</v>
      </c>
      <c r="F311" s="2" t="s">
        <v>15</v>
      </c>
      <c r="G311" s="8" t="s">
        <v>706</v>
      </c>
      <c r="H311" s="2" t="s">
        <v>1043</v>
      </c>
      <c r="I311" s="1" t="s">
        <v>708</v>
      </c>
      <c r="J311" s="1" t="s">
        <v>35</v>
      </c>
      <c r="K311" s="6" t="s">
        <v>40</v>
      </c>
      <c r="L311" s="1"/>
    </row>
    <row r="312" spans="1:12" ht="15.75" customHeight="1">
      <c r="A312" s="1" t="s">
        <v>1044</v>
      </c>
      <c r="B312" s="2" t="s">
        <v>704</v>
      </c>
      <c r="C312" s="2" t="s">
        <v>697</v>
      </c>
      <c r="D312" s="2" t="s">
        <v>698</v>
      </c>
      <c r="E312" s="2" t="s">
        <v>705</v>
      </c>
      <c r="F312" s="2" t="s">
        <v>15</v>
      </c>
      <c r="G312" s="8" t="s">
        <v>706</v>
      </c>
      <c r="H312" s="2" t="s">
        <v>1045</v>
      </c>
      <c r="I312" s="1" t="s">
        <v>708</v>
      </c>
      <c r="J312" s="1" t="s">
        <v>35</v>
      </c>
      <c r="K312" s="6" t="s">
        <v>40</v>
      </c>
      <c r="L312" s="1"/>
    </row>
    <row r="313" spans="1:12" ht="15.75" customHeight="1">
      <c r="A313" s="1" t="s">
        <v>1046</v>
      </c>
      <c r="B313" s="2" t="s">
        <v>927</v>
      </c>
      <c r="C313" s="2" t="s">
        <v>697</v>
      </c>
      <c r="D313" s="2" t="s">
        <v>698</v>
      </c>
      <c r="E313" s="2" t="s">
        <v>928</v>
      </c>
      <c r="F313" s="2" t="s">
        <v>180</v>
      </c>
      <c r="G313" s="8" t="s">
        <v>929</v>
      </c>
      <c r="H313" s="2" t="s">
        <v>1047</v>
      </c>
      <c r="I313" s="1" t="s">
        <v>708</v>
      </c>
      <c r="J313" s="1" t="s">
        <v>35</v>
      </c>
      <c r="K313" s="6" t="s">
        <v>40</v>
      </c>
      <c r="L313" s="1"/>
    </row>
    <row r="314" spans="1:12" ht="15.75" customHeight="1">
      <c r="A314" s="1" t="s">
        <v>1048</v>
      </c>
      <c r="B314" s="2" t="s">
        <v>704</v>
      </c>
      <c r="C314" s="2" t="s">
        <v>697</v>
      </c>
      <c r="D314" s="2" t="s">
        <v>698</v>
      </c>
      <c r="E314" s="2" t="s">
        <v>705</v>
      </c>
      <c r="F314" s="2" t="s">
        <v>15</v>
      </c>
      <c r="G314" s="8" t="s">
        <v>706</v>
      </c>
      <c r="H314" s="2" t="s">
        <v>1049</v>
      </c>
      <c r="I314" s="1" t="s">
        <v>702</v>
      </c>
      <c r="J314" s="1" t="s">
        <v>50</v>
      </c>
      <c r="K314" s="6" t="s">
        <v>40</v>
      </c>
      <c r="L314" s="1"/>
    </row>
    <row r="315" spans="1:12" ht="15.75" customHeight="1">
      <c r="A315" s="1" t="s">
        <v>1050</v>
      </c>
      <c r="B315" s="2" t="s">
        <v>742</v>
      </c>
      <c r="C315" s="2" t="s">
        <v>697</v>
      </c>
      <c r="D315" s="2" t="s">
        <v>698</v>
      </c>
      <c r="E315" s="2" t="s">
        <v>743</v>
      </c>
      <c r="F315" s="2" t="s">
        <v>126</v>
      </c>
      <c r="G315" s="8" t="s">
        <v>744</v>
      </c>
      <c r="H315" s="2" t="s">
        <v>1051</v>
      </c>
      <c r="I315" s="1" t="s">
        <v>708</v>
      </c>
      <c r="J315" s="1" t="s">
        <v>35</v>
      </c>
      <c r="K315" s="6" t="s">
        <v>40</v>
      </c>
      <c r="L315" s="1"/>
    </row>
    <row r="316" spans="1:12" ht="15.75" customHeight="1">
      <c r="A316" s="1" t="s">
        <v>1052</v>
      </c>
      <c r="B316" s="2" t="s">
        <v>790</v>
      </c>
      <c r="C316" s="2" t="s">
        <v>697</v>
      </c>
      <c r="D316" s="2" t="s">
        <v>698</v>
      </c>
      <c r="E316" s="2" t="s">
        <v>791</v>
      </c>
      <c r="F316" s="2" t="s">
        <v>330</v>
      </c>
      <c r="G316" s="8" t="s">
        <v>792</v>
      </c>
      <c r="H316" s="2" t="s">
        <v>1053</v>
      </c>
      <c r="I316" s="1" t="s">
        <v>714</v>
      </c>
      <c r="J316" s="1" t="s">
        <v>28</v>
      </c>
      <c r="K316" s="6" t="s">
        <v>40</v>
      </c>
      <c r="L316" s="1"/>
    </row>
    <row r="317" spans="1:12" ht="15.75" customHeight="1">
      <c r="A317" s="1" t="s">
        <v>1054</v>
      </c>
      <c r="B317" s="2" t="s">
        <v>749</v>
      </c>
      <c r="C317" s="2" t="s">
        <v>697</v>
      </c>
      <c r="D317" s="2" t="s">
        <v>698</v>
      </c>
      <c r="E317" s="2" t="s">
        <v>750</v>
      </c>
      <c r="F317" s="2" t="s">
        <v>157</v>
      </c>
      <c r="G317" s="8" t="s">
        <v>751</v>
      </c>
      <c r="H317" s="2" t="s">
        <v>1055</v>
      </c>
      <c r="I317" s="1" t="s">
        <v>702</v>
      </c>
      <c r="J317" s="1" t="s">
        <v>50</v>
      </c>
      <c r="K317" s="6" t="s">
        <v>40</v>
      </c>
      <c r="L317" s="1"/>
    </row>
    <row r="318" spans="1:12" ht="15.75" customHeight="1">
      <c r="A318" s="1" t="s">
        <v>1056</v>
      </c>
      <c r="B318" s="2" t="s">
        <v>759</v>
      </c>
      <c r="C318" s="2" t="s">
        <v>697</v>
      </c>
      <c r="D318" s="2" t="s">
        <v>698</v>
      </c>
      <c r="E318" s="2" t="s">
        <v>760</v>
      </c>
      <c r="F318" s="2" t="s">
        <v>46</v>
      </c>
      <c r="G318" s="8" t="s">
        <v>761</v>
      </c>
      <c r="H318" s="2" t="s">
        <v>1057</v>
      </c>
      <c r="I318" s="1" t="s">
        <v>708</v>
      </c>
      <c r="J318" s="1" t="s">
        <v>35</v>
      </c>
      <c r="K318" s="6" t="s">
        <v>40</v>
      </c>
      <c r="L318" s="1"/>
    </row>
    <row r="319" spans="1:12" ht="15.75" customHeight="1">
      <c r="A319" s="1" t="s">
        <v>1058</v>
      </c>
      <c r="B319" s="2" t="s">
        <v>723</v>
      </c>
      <c r="C319" s="2" t="s">
        <v>697</v>
      </c>
      <c r="D319" s="2" t="s">
        <v>698</v>
      </c>
      <c r="E319" s="2" t="s">
        <v>724</v>
      </c>
      <c r="F319" s="2" t="s">
        <v>140</v>
      </c>
      <c r="G319" s="8" t="s">
        <v>725</v>
      </c>
      <c r="H319" s="2" t="s">
        <v>1059</v>
      </c>
      <c r="I319" s="1" t="s">
        <v>702</v>
      </c>
      <c r="J319" s="1" t="s">
        <v>50</v>
      </c>
      <c r="K319" s="6" t="s">
        <v>40</v>
      </c>
      <c r="L319" s="1"/>
    </row>
    <row r="320" spans="1:12" ht="15.75" customHeight="1">
      <c r="A320" s="1" t="s">
        <v>1060</v>
      </c>
      <c r="B320" s="2" t="s">
        <v>749</v>
      </c>
      <c r="C320" s="2" t="s">
        <v>697</v>
      </c>
      <c r="D320" s="2" t="s">
        <v>698</v>
      </c>
      <c r="E320" s="2" t="s">
        <v>750</v>
      </c>
      <c r="F320" s="2" t="s">
        <v>157</v>
      </c>
      <c r="G320" s="8" t="s">
        <v>751</v>
      </c>
      <c r="H320" s="2" t="s">
        <v>1061</v>
      </c>
      <c r="I320" s="1" t="s">
        <v>702</v>
      </c>
      <c r="J320" s="1" t="s">
        <v>50</v>
      </c>
      <c r="K320" s="6" t="s">
        <v>40</v>
      </c>
      <c r="L320" s="1"/>
    </row>
    <row r="321" spans="1:12" ht="15.75" customHeight="1">
      <c r="A321" s="1" t="s">
        <v>1062</v>
      </c>
      <c r="B321" s="2" t="s">
        <v>710</v>
      </c>
      <c r="C321" s="2" t="s">
        <v>697</v>
      </c>
      <c r="D321" s="2" t="s">
        <v>698</v>
      </c>
      <c r="E321" s="2" t="s">
        <v>711</v>
      </c>
      <c r="F321" s="2" t="s">
        <v>126</v>
      </c>
      <c r="G321" s="8" t="s">
        <v>712</v>
      </c>
      <c r="H321" s="2" t="s">
        <v>1063</v>
      </c>
      <c r="I321" s="1" t="s">
        <v>708</v>
      </c>
      <c r="J321" s="1" t="s">
        <v>35</v>
      </c>
      <c r="K321" s="6" t="s">
        <v>40</v>
      </c>
      <c r="L321" s="1"/>
    </row>
    <row r="322" spans="1:12" ht="15.75" customHeight="1">
      <c r="A322" s="1" t="s">
        <v>1064</v>
      </c>
      <c r="B322" s="2" t="s">
        <v>728</v>
      </c>
      <c r="C322" s="2" t="s">
        <v>697</v>
      </c>
      <c r="D322" s="2" t="s">
        <v>698</v>
      </c>
      <c r="E322" s="2" t="s">
        <v>729</v>
      </c>
      <c r="F322" s="2" t="s">
        <v>24</v>
      </c>
      <c r="G322" s="8" t="s">
        <v>730</v>
      </c>
      <c r="H322" s="2" t="s">
        <v>1065</v>
      </c>
      <c r="I322" s="1" t="s">
        <v>708</v>
      </c>
      <c r="J322" s="1" t="s">
        <v>35</v>
      </c>
      <c r="K322" s="6" t="s">
        <v>40</v>
      </c>
      <c r="L322" s="1"/>
    </row>
    <row r="323" spans="1:12" ht="15.75" customHeight="1">
      <c r="A323" s="1" t="s">
        <v>1066</v>
      </c>
      <c r="B323" s="2" t="s">
        <v>1067</v>
      </c>
      <c r="C323" s="2" t="s">
        <v>1068</v>
      </c>
      <c r="D323" s="2" t="s">
        <v>1069</v>
      </c>
      <c r="E323" s="2" t="s">
        <v>1070</v>
      </c>
      <c r="F323" s="2" t="s">
        <v>24</v>
      </c>
      <c r="G323" s="8" t="s">
        <v>1071</v>
      </c>
      <c r="H323" s="2" t="s">
        <v>1072</v>
      </c>
      <c r="I323" s="1" t="s">
        <v>34</v>
      </c>
      <c r="J323" s="1" t="s">
        <v>35</v>
      </c>
      <c r="K323" s="6" t="s">
        <v>40</v>
      </c>
      <c r="L323" s="1"/>
    </row>
    <row r="324" spans="1:12" ht="15.75" customHeight="1">
      <c r="A324" s="1" t="s">
        <v>1073</v>
      </c>
      <c r="B324" s="2" t="s">
        <v>1067</v>
      </c>
      <c r="C324" s="2" t="s">
        <v>1068</v>
      </c>
      <c r="D324" s="2" t="s">
        <v>1069</v>
      </c>
      <c r="E324" s="2" t="s">
        <v>1070</v>
      </c>
      <c r="F324" s="2" t="s">
        <v>24</v>
      </c>
      <c r="G324" s="8" t="s">
        <v>1071</v>
      </c>
      <c r="H324" s="2" t="s">
        <v>1074</v>
      </c>
      <c r="I324" s="1" t="s">
        <v>18</v>
      </c>
      <c r="J324" s="1" t="s">
        <v>19</v>
      </c>
      <c r="K324" s="6" t="s">
        <v>40</v>
      </c>
      <c r="L324" s="1"/>
    </row>
    <row r="325" spans="1:12" ht="15.75" customHeight="1">
      <c r="A325" s="1" t="s">
        <v>1075</v>
      </c>
      <c r="B325" s="2" t="s">
        <v>1067</v>
      </c>
      <c r="C325" s="2" t="s">
        <v>1068</v>
      </c>
      <c r="D325" s="2" t="s">
        <v>1069</v>
      </c>
      <c r="E325" s="2" t="s">
        <v>1070</v>
      </c>
      <c r="F325" s="2" t="s">
        <v>24</v>
      </c>
      <c r="G325" s="8" t="s">
        <v>1071</v>
      </c>
      <c r="H325" s="2" t="s">
        <v>1076</v>
      </c>
      <c r="I325" s="1" t="s">
        <v>34</v>
      </c>
      <c r="J325" s="1" t="s">
        <v>35</v>
      </c>
      <c r="K325" s="6" t="s">
        <v>40</v>
      </c>
      <c r="L325" s="1"/>
    </row>
    <row r="326" spans="1:12" ht="15.75" customHeight="1">
      <c r="A326" s="1" t="s">
        <v>1077</v>
      </c>
      <c r="B326" s="2" t="s">
        <v>1078</v>
      </c>
      <c r="C326" s="2" t="s">
        <v>1079</v>
      </c>
      <c r="D326" s="2" t="s">
        <v>1080</v>
      </c>
      <c r="E326" s="2" t="s">
        <v>1081</v>
      </c>
      <c r="F326" s="2" t="s">
        <v>61</v>
      </c>
      <c r="G326" s="8" t="s">
        <v>1082</v>
      </c>
      <c r="H326" s="4" t="s">
        <v>1083</v>
      </c>
      <c r="I326" s="1" t="s">
        <v>1084</v>
      </c>
      <c r="J326" s="1" t="s">
        <v>50</v>
      </c>
      <c r="K326" s="6" t="s">
        <v>40</v>
      </c>
      <c r="L326" s="1"/>
    </row>
    <row r="327" spans="1:12" ht="15.75" customHeight="1">
      <c r="A327" s="1" t="s">
        <v>1085</v>
      </c>
      <c r="B327" s="2" t="s">
        <v>1086</v>
      </c>
      <c r="C327" s="2" t="s">
        <v>1079</v>
      </c>
      <c r="D327" s="2" t="s">
        <v>1080</v>
      </c>
      <c r="E327" s="2" t="s">
        <v>1087</v>
      </c>
      <c r="F327" s="2" t="s">
        <v>46</v>
      </c>
      <c r="G327" s="8" t="s">
        <v>1088</v>
      </c>
      <c r="H327" s="2" t="s">
        <v>1089</v>
      </c>
      <c r="I327" s="1" t="s">
        <v>34</v>
      </c>
      <c r="J327" s="1" t="s">
        <v>35</v>
      </c>
      <c r="K327" s="6" t="s">
        <v>40</v>
      </c>
      <c r="L327" s="1"/>
    </row>
    <row r="328" spans="1:12" ht="15.75" customHeight="1">
      <c r="A328" s="1" t="s">
        <v>1090</v>
      </c>
      <c r="B328" s="2" t="s">
        <v>1091</v>
      </c>
      <c r="C328" s="2" t="s">
        <v>1079</v>
      </c>
      <c r="D328" s="2" t="s">
        <v>1080</v>
      </c>
      <c r="E328" s="2" t="s">
        <v>1092</v>
      </c>
      <c r="F328" s="2" t="s">
        <v>180</v>
      </c>
      <c r="G328" s="8" t="s">
        <v>1093</v>
      </c>
      <c r="H328" s="2" t="s">
        <v>1094</v>
      </c>
      <c r="I328" s="1" t="s">
        <v>160</v>
      </c>
      <c r="J328" s="1" t="s">
        <v>78</v>
      </c>
      <c r="K328" s="6" t="s">
        <v>40</v>
      </c>
      <c r="L328" s="1"/>
    </row>
    <row r="329" spans="1:12" ht="15.75" customHeight="1">
      <c r="A329" s="1" t="s">
        <v>1095</v>
      </c>
      <c r="B329" s="2" t="s">
        <v>1096</v>
      </c>
      <c r="C329" s="2" t="s">
        <v>1079</v>
      </c>
      <c r="D329" s="2" t="s">
        <v>1080</v>
      </c>
      <c r="E329" s="2" t="s">
        <v>1097</v>
      </c>
      <c r="F329" s="2" t="s">
        <v>264</v>
      </c>
      <c r="G329" s="8" t="s">
        <v>1098</v>
      </c>
      <c r="H329" s="2" t="s">
        <v>1099</v>
      </c>
      <c r="I329" s="1" t="s">
        <v>1084</v>
      </c>
      <c r="J329" s="1" t="s">
        <v>50</v>
      </c>
      <c r="K329" s="6" t="s">
        <v>40</v>
      </c>
      <c r="L329" s="1"/>
    </row>
    <row r="330" spans="1:12" ht="15.75" customHeight="1">
      <c r="A330" s="1" t="s">
        <v>1100</v>
      </c>
      <c r="B330" s="2" t="s">
        <v>1101</v>
      </c>
      <c r="C330" s="2" t="s">
        <v>1079</v>
      </c>
      <c r="D330" s="2" t="s">
        <v>1080</v>
      </c>
      <c r="E330" s="2" t="s">
        <v>1102</v>
      </c>
      <c r="F330" s="2" t="s">
        <v>180</v>
      </c>
      <c r="G330" s="8" t="s">
        <v>1103</v>
      </c>
      <c r="H330" s="2" t="s">
        <v>1104</v>
      </c>
      <c r="I330" s="1" t="s">
        <v>1105</v>
      </c>
      <c r="J330" s="1" t="s">
        <v>19</v>
      </c>
      <c r="K330" s="6" t="s">
        <v>40</v>
      </c>
      <c r="L330" s="1"/>
    </row>
    <row r="331" spans="1:12" ht="15.75" customHeight="1">
      <c r="A331" s="1" t="s">
        <v>1106</v>
      </c>
      <c r="B331" s="2" t="s">
        <v>1107</v>
      </c>
      <c r="C331" s="2" t="s">
        <v>1079</v>
      </c>
      <c r="D331" s="2" t="s">
        <v>1080</v>
      </c>
      <c r="E331" s="2" t="s">
        <v>1108</v>
      </c>
      <c r="F331" s="2" t="s">
        <v>15</v>
      </c>
      <c r="G331" s="8" t="s">
        <v>1109</v>
      </c>
      <c r="H331" s="2" t="s">
        <v>1110</v>
      </c>
      <c r="I331" s="1" t="s">
        <v>1105</v>
      </c>
      <c r="J331" s="1" t="s">
        <v>19</v>
      </c>
      <c r="K331" s="6" t="s">
        <v>40</v>
      </c>
      <c r="L331" s="1"/>
    </row>
    <row r="332" spans="1:12" ht="15.75" customHeight="1">
      <c r="A332" s="1" t="s">
        <v>1111</v>
      </c>
      <c r="B332" s="2" t="s">
        <v>1112</v>
      </c>
      <c r="C332" s="2" t="s">
        <v>1079</v>
      </c>
      <c r="D332" s="2" t="s">
        <v>1080</v>
      </c>
      <c r="E332" s="2" t="s">
        <v>1113</v>
      </c>
      <c r="F332" s="2" t="s">
        <v>46</v>
      </c>
      <c r="G332" s="8" t="s">
        <v>1114</v>
      </c>
      <c r="H332" s="4" t="s">
        <v>1115</v>
      </c>
      <c r="I332" s="1" t="s">
        <v>34</v>
      </c>
      <c r="J332" s="1" t="s">
        <v>35</v>
      </c>
      <c r="K332" s="6" t="s">
        <v>40</v>
      </c>
      <c r="L332" s="1"/>
    </row>
    <row r="333" spans="1:12" ht="15.75" customHeight="1">
      <c r="A333" s="1" t="s">
        <v>1116</v>
      </c>
      <c r="B333" s="2" t="s">
        <v>1112</v>
      </c>
      <c r="C333" s="2" t="s">
        <v>1079</v>
      </c>
      <c r="D333" s="2" t="s">
        <v>1080</v>
      </c>
      <c r="E333" s="2" t="s">
        <v>1113</v>
      </c>
      <c r="F333" s="2" t="s">
        <v>46</v>
      </c>
      <c r="G333" s="8" t="s">
        <v>1114</v>
      </c>
      <c r="H333" s="4" t="s">
        <v>1117</v>
      </c>
      <c r="I333" s="1" t="s">
        <v>18</v>
      </c>
      <c r="J333" s="1" t="s">
        <v>19</v>
      </c>
      <c r="K333" s="6" t="s">
        <v>40</v>
      </c>
      <c r="L333" s="1"/>
    </row>
    <row r="334" spans="1:12" ht="15.75" customHeight="1">
      <c r="A334" s="1" t="s">
        <v>1118</v>
      </c>
      <c r="B334" s="2" t="s">
        <v>1078</v>
      </c>
      <c r="C334" s="2" t="s">
        <v>1079</v>
      </c>
      <c r="D334" s="2" t="s">
        <v>1080</v>
      </c>
      <c r="E334" s="2" t="s">
        <v>1081</v>
      </c>
      <c r="F334" s="2" t="s">
        <v>61</v>
      </c>
      <c r="G334" s="8" t="s">
        <v>1082</v>
      </c>
      <c r="H334" s="2" t="s">
        <v>1119</v>
      </c>
      <c r="I334" s="1" t="s">
        <v>160</v>
      </c>
      <c r="J334" s="1" t="s">
        <v>78</v>
      </c>
      <c r="K334" s="6" t="s">
        <v>40</v>
      </c>
      <c r="L334" s="1"/>
    </row>
    <row r="335" spans="1:12" ht="15.75" customHeight="1">
      <c r="A335" s="1" t="s">
        <v>1120</v>
      </c>
      <c r="B335" s="2" t="s">
        <v>1121</v>
      </c>
      <c r="C335" s="2" t="s">
        <v>1079</v>
      </c>
      <c r="D335" s="2" t="s">
        <v>1080</v>
      </c>
      <c r="E335" s="2" t="s">
        <v>1122</v>
      </c>
      <c r="F335" s="2" t="s">
        <v>120</v>
      </c>
      <c r="G335" s="8" t="s">
        <v>1123</v>
      </c>
      <c r="H335" s="4" t="s">
        <v>1124</v>
      </c>
      <c r="I335" s="1" t="s">
        <v>1125</v>
      </c>
      <c r="J335" s="1" t="s">
        <v>50</v>
      </c>
      <c r="K335" s="6" t="s">
        <v>40</v>
      </c>
      <c r="L335" s="1"/>
    </row>
    <row r="336" spans="1:12" ht="15.75" customHeight="1">
      <c r="A336" s="1" t="s">
        <v>1126</v>
      </c>
      <c r="B336" s="2" t="s">
        <v>1091</v>
      </c>
      <c r="C336" s="2" t="s">
        <v>1079</v>
      </c>
      <c r="D336" s="2" t="s">
        <v>1080</v>
      </c>
      <c r="E336" s="2" t="s">
        <v>1092</v>
      </c>
      <c r="F336" s="2" t="s">
        <v>180</v>
      </c>
      <c r="G336" s="8" t="s">
        <v>1093</v>
      </c>
      <c r="H336" s="2" t="s">
        <v>1127</v>
      </c>
      <c r="I336" s="1" t="s">
        <v>18</v>
      </c>
      <c r="J336" s="1" t="s">
        <v>19</v>
      </c>
      <c r="K336" s="6" t="s">
        <v>40</v>
      </c>
      <c r="L336" s="1"/>
    </row>
    <row r="337" spans="1:12" ht="15.75" customHeight="1">
      <c r="A337" s="1" t="s">
        <v>1128</v>
      </c>
      <c r="B337" s="2" t="s">
        <v>1112</v>
      </c>
      <c r="C337" s="2" t="s">
        <v>1079</v>
      </c>
      <c r="D337" s="2" t="s">
        <v>1080</v>
      </c>
      <c r="E337" s="2" t="s">
        <v>1113</v>
      </c>
      <c r="F337" s="2" t="s">
        <v>46</v>
      </c>
      <c r="G337" s="8" t="s">
        <v>1114</v>
      </c>
      <c r="H337" s="2" t="s">
        <v>1129</v>
      </c>
      <c r="I337" s="1" t="s">
        <v>18</v>
      </c>
      <c r="J337" s="1" t="s">
        <v>19</v>
      </c>
      <c r="K337" s="6" t="s">
        <v>40</v>
      </c>
      <c r="L337" s="1"/>
    </row>
    <row r="338" spans="1:12" ht="15.75" customHeight="1">
      <c r="A338" s="1" t="s">
        <v>1130</v>
      </c>
      <c r="B338" s="2" t="s">
        <v>1096</v>
      </c>
      <c r="C338" s="2" t="s">
        <v>1079</v>
      </c>
      <c r="D338" s="2" t="s">
        <v>1080</v>
      </c>
      <c r="E338" s="2" t="s">
        <v>1097</v>
      </c>
      <c r="F338" s="2" t="s">
        <v>264</v>
      </c>
      <c r="G338" s="8" t="s">
        <v>1098</v>
      </c>
      <c r="H338" s="4" t="s">
        <v>1131</v>
      </c>
      <c r="I338" s="1" t="s">
        <v>160</v>
      </c>
      <c r="J338" s="1" t="s">
        <v>78</v>
      </c>
      <c r="K338" s="6" t="s">
        <v>40</v>
      </c>
      <c r="L338" s="1"/>
    </row>
    <row r="339" spans="1:12" ht="15.75" customHeight="1">
      <c r="A339" s="1" t="s">
        <v>1132</v>
      </c>
      <c r="B339" s="2" t="s">
        <v>1133</v>
      </c>
      <c r="C339" s="2" t="s">
        <v>1079</v>
      </c>
      <c r="D339" s="2" t="s">
        <v>1080</v>
      </c>
      <c r="E339" s="2" t="s">
        <v>1134</v>
      </c>
      <c r="F339" s="2" t="s">
        <v>15</v>
      </c>
      <c r="G339" s="8" t="s">
        <v>1135</v>
      </c>
      <c r="H339" s="2" t="s">
        <v>1136</v>
      </c>
      <c r="I339" s="1" t="s">
        <v>351</v>
      </c>
      <c r="J339" s="1" t="s">
        <v>28</v>
      </c>
      <c r="K339" s="6" t="s">
        <v>144</v>
      </c>
      <c r="L339" s="1" t="s">
        <v>1084</v>
      </c>
    </row>
    <row r="340" spans="1:12" ht="15.75" customHeight="1">
      <c r="A340" s="1" t="s">
        <v>1137</v>
      </c>
      <c r="B340" s="2" t="s">
        <v>1078</v>
      </c>
      <c r="C340" s="2" t="s">
        <v>1079</v>
      </c>
      <c r="D340" s="2" t="s">
        <v>1080</v>
      </c>
      <c r="E340" s="2" t="s">
        <v>1081</v>
      </c>
      <c r="F340" s="2" t="s">
        <v>61</v>
      </c>
      <c r="G340" s="8" t="s">
        <v>1082</v>
      </c>
      <c r="H340" s="2" t="s">
        <v>1138</v>
      </c>
      <c r="I340" s="1" t="s">
        <v>1105</v>
      </c>
      <c r="J340" s="1" t="s">
        <v>19</v>
      </c>
      <c r="K340" s="6" t="s">
        <v>40</v>
      </c>
      <c r="L340" s="1"/>
    </row>
    <row r="341" spans="1:12" ht="15.75" customHeight="1">
      <c r="A341" s="1" t="s">
        <v>1139</v>
      </c>
      <c r="B341" s="2" t="s">
        <v>1140</v>
      </c>
      <c r="C341" s="2" t="s">
        <v>1079</v>
      </c>
      <c r="D341" s="2" t="s">
        <v>1080</v>
      </c>
      <c r="E341" s="2" t="s">
        <v>1141</v>
      </c>
      <c r="F341" s="2" t="s">
        <v>126</v>
      </c>
      <c r="G341" s="8" t="s">
        <v>1142</v>
      </c>
      <c r="H341" s="2" t="s">
        <v>1143</v>
      </c>
      <c r="I341" s="1" t="s">
        <v>34</v>
      </c>
      <c r="J341" s="1" t="s">
        <v>35</v>
      </c>
      <c r="K341" s="6" t="s">
        <v>40</v>
      </c>
      <c r="L341" s="1"/>
    </row>
    <row r="342" spans="1:12" ht="15.75" customHeight="1">
      <c r="A342" s="1" t="s">
        <v>1144</v>
      </c>
      <c r="B342" s="2" t="s">
        <v>1145</v>
      </c>
      <c r="C342" s="2" t="s">
        <v>1079</v>
      </c>
      <c r="D342" s="2" t="s">
        <v>1080</v>
      </c>
      <c r="E342" s="2" t="s">
        <v>1146</v>
      </c>
      <c r="F342" s="2" t="s">
        <v>126</v>
      </c>
      <c r="G342" s="8" t="s">
        <v>1147</v>
      </c>
      <c r="H342" s="2" t="s">
        <v>1148</v>
      </c>
      <c r="I342" s="1" t="s">
        <v>18</v>
      </c>
      <c r="J342" s="1" t="s">
        <v>19</v>
      </c>
      <c r="K342" s="6" t="s">
        <v>40</v>
      </c>
      <c r="L342" s="6"/>
    </row>
    <row r="343" spans="1:12" ht="15.75" customHeight="1">
      <c r="A343" s="1" t="s">
        <v>1149</v>
      </c>
      <c r="B343" s="2" t="s">
        <v>1150</v>
      </c>
      <c r="C343" s="2" t="s">
        <v>1079</v>
      </c>
      <c r="D343" s="2" t="s">
        <v>1080</v>
      </c>
      <c r="E343" s="2" t="s">
        <v>1151</v>
      </c>
      <c r="F343" s="2" t="s">
        <v>24</v>
      </c>
      <c r="G343" s="8" t="s">
        <v>1152</v>
      </c>
      <c r="H343" s="2" t="s">
        <v>1153</v>
      </c>
      <c r="I343" s="1" t="s">
        <v>34</v>
      </c>
      <c r="J343" s="1" t="s">
        <v>35</v>
      </c>
      <c r="K343" s="6" t="s">
        <v>40</v>
      </c>
      <c r="L343" s="1"/>
    </row>
    <row r="344" spans="1:12" ht="15.75" customHeight="1">
      <c r="A344" s="1" t="s">
        <v>1154</v>
      </c>
      <c r="B344" s="2" t="s">
        <v>1133</v>
      </c>
      <c r="C344" s="2" t="s">
        <v>1079</v>
      </c>
      <c r="D344" s="2" t="s">
        <v>1080</v>
      </c>
      <c r="E344" s="2" t="s">
        <v>1134</v>
      </c>
      <c r="F344" s="2" t="s">
        <v>15</v>
      </c>
      <c r="G344" s="8" t="s">
        <v>1135</v>
      </c>
      <c r="H344" s="2" t="s">
        <v>1155</v>
      </c>
      <c r="I344" s="1" t="s">
        <v>351</v>
      </c>
      <c r="J344" s="1" t="s">
        <v>28</v>
      </c>
      <c r="K344" s="6" t="s">
        <v>144</v>
      </c>
      <c r="L344" s="1" t="s">
        <v>1084</v>
      </c>
    </row>
    <row r="345" spans="1:12" ht="15.75" customHeight="1">
      <c r="A345" s="1" t="s">
        <v>1156</v>
      </c>
      <c r="B345" s="2" t="s">
        <v>1078</v>
      </c>
      <c r="C345" s="2" t="s">
        <v>1079</v>
      </c>
      <c r="D345" s="2" t="s">
        <v>1080</v>
      </c>
      <c r="E345" s="2" t="s">
        <v>1081</v>
      </c>
      <c r="F345" s="2" t="s">
        <v>61</v>
      </c>
      <c r="G345" s="8" t="s">
        <v>1082</v>
      </c>
      <c r="H345" s="2" t="s">
        <v>1157</v>
      </c>
      <c r="I345" s="1" t="s">
        <v>1084</v>
      </c>
      <c r="J345" s="1" t="s">
        <v>50</v>
      </c>
      <c r="K345" s="6" t="s">
        <v>40</v>
      </c>
      <c r="L345" s="1"/>
    </row>
    <row r="346" spans="1:12" ht="15.75" customHeight="1">
      <c r="A346" s="1" t="s">
        <v>1158</v>
      </c>
      <c r="B346" s="2" t="s">
        <v>1159</v>
      </c>
      <c r="C346" s="2" t="s">
        <v>1079</v>
      </c>
      <c r="D346" s="2" t="s">
        <v>1080</v>
      </c>
      <c r="E346" s="2" t="s">
        <v>1160</v>
      </c>
      <c r="F346" s="2" t="s">
        <v>15</v>
      </c>
      <c r="G346" s="8" t="s">
        <v>1161</v>
      </c>
      <c r="H346" s="2" t="s">
        <v>1162</v>
      </c>
      <c r="I346" s="1" t="s">
        <v>34</v>
      </c>
      <c r="J346" s="1" t="s">
        <v>35</v>
      </c>
      <c r="K346" s="6" t="s">
        <v>40</v>
      </c>
      <c r="L346" s="6"/>
    </row>
    <row r="347" spans="1:12" ht="15.75" customHeight="1">
      <c r="A347" s="1" t="s">
        <v>1163</v>
      </c>
      <c r="B347" s="2" t="s">
        <v>1164</v>
      </c>
      <c r="C347" s="2" t="s">
        <v>1079</v>
      </c>
      <c r="D347" s="2" t="s">
        <v>1080</v>
      </c>
      <c r="E347" s="2" t="s">
        <v>1165</v>
      </c>
      <c r="F347" s="2" t="s">
        <v>126</v>
      </c>
      <c r="G347" s="8" t="s">
        <v>1166</v>
      </c>
      <c r="H347" s="2" t="s">
        <v>1167</v>
      </c>
      <c r="I347" s="1" t="s">
        <v>1105</v>
      </c>
      <c r="J347" s="1" t="s">
        <v>19</v>
      </c>
      <c r="K347" s="6" t="s">
        <v>40</v>
      </c>
      <c r="L347" s="1"/>
    </row>
    <row r="348" spans="1:12" ht="15.75" customHeight="1">
      <c r="A348" s="1" t="s">
        <v>1168</v>
      </c>
      <c r="B348" s="2" t="s">
        <v>1101</v>
      </c>
      <c r="C348" s="2" t="s">
        <v>1079</v>
      </c>
      <c r="D348" s="2" t="s">
        <v>1080</v>
      </c>
      <c r="E348" s="2" t="s">
        <v>1102</v>
      </c>
      <c r="F348" s="2" t="s">
        <v>180</v>
      </c>
      <c r="G348" s="8" t="s">
        <v>1103</v>
      </c>
      <c r="H348" s="2" t="s">
        <v>1169</v>
      </c>
      <c r="I348" s="1" t="s">
        <v>1105</v>
      </c>
      <c r="J348" s="1" t="s">
        <v>19</v>
      </c>
      <c r="K348" s="6" t="s">
        <v>40</v>
      </c>
      <c r="L348" s="1"/>
    </row>
    <row r="349" spans="1:12" ht="15.75" customHeight="1">
      <c r="A349" s="1" t="s">
        <v>1170</v>
      </c>
      <c r="B349" s="2" t="s">
        <v>1171</v>
      </c>
      <c r="C349" s="2" t="s">
        <v>1079</v>
      </c>
      <c r="D349" s="2" t="s">
        <v>1080</v>
      </c>
      <c r="E349" s="2" t="s">
        <v>1172</v>
      </c>
      <c r="F349" s="2" t="s">
        <v>180</v>
      </c>
      <c r="G349" s="8" t="s">
        <v>1173</v>
      </c>
      <c r="H349" s="2" t="s">
        <v>1174</v>
      </c>
      <c r="I349" s="1" t="s">
        <v>18</v>
      </c>
      <c r="J349" s="1" t="s">
        <v>19</v>
      </c>
      <c r="K349" s="6" t="s">
        <v>144</v>
      </c>
      <c r="L349" s="6" t="s">
        <v>1105</v>
      </c>
    </row>
    <row r="350" spans="1:12" ht="15.75" customHeight="1">
      <c r="A350" s="1" t="s">
        <v>1175</v>
      </c>
      <c r="B350" s="2" t="s">
        <v>1176</v>
      </c>
      <c r="C350" s="2" t="s">
        <v>1079</v>
      </c>
      <c r="D350" s="2" t="s">
        <v>1080</v>
      </c>
      <c r="E350" s="2" t="s">
        <v>1177</v>
      </c>
      <c r="F350" s="2" t="s">
        <v>140</v>
      </c>
      <c r="G350" s="8" t="s">
        <v>1178</v>
      </c>
      <c r="H350" s="2" t="s">
        <v>1179</v>
      </c>
      <c r="I350" s="1" t="s">
        <v>1105</v>
      </c>
      <c r="J350" s="1" t="s">
        <v>19</v>
      </c>
      <c r="K350" s="6" t="s">
        <v>40</v>
      </c>
      <c r="L350" s="1"/>
    </row>
    <row r="351" spans="1:12" ht="15.75" customHeight="1">
      <c r="A351" s="1" t="s">
        <v>1180</v>
      </c>
      <c r="B351" s="2" t="s">
        <v>1181</v>
      </c>
      <c r="C351" s="2" t="s">
        <v>1079</v>
      </c>
      <c r="D351" s="2" t="s">
        <v>1080</v>
      </c>
      <c r="E351" s="2" t="s">
        <v>1182</v>
      </c>
      <c r="F351" s="2" t="s">
        <v>24</v>
      </c>
      <c r="G351" s="8" t="s">
        <v>1183</v>
      </c>
      <c r="H351" s="2" t="s">
        <v>1184</v>
      </c>
      <c r="I351" s="1" t="s">
        <v>1105</v>
      </c>
      <c r="J351" s="1" t="s">
        <v>19</v>
      </c>
      <c r="K351" s="6" t="s">
        <v>40</v>
      </c>
      <c r="L351" s="1"/>
    </row>
    <row r="352" spans="1:12" ht="15.75" customHeight="1">
      <c r="A352" s="1" t="s">
        <v>1185</v>
      </c>
      <c r="B352" s="2" t="s">
        <v>1181</v>
      </c>
      <c r="C352" s="2" t="s">
        <v>1079</v>
      </c>
      <c r="D352" s="2" t="s">
        <v>1080</v>
      </c>
      <c r="E352" s="2" t="s">
        <v>1182</v>
      </c>
      <c r="F352" s="2" t="s">
        <v>24</v>
      </c>
      <c r="G352" s="8" t="s">
        <v>1183</v>
      </c>
      <c r="H352" s="2" t="s">
        <v>1186</v>
      </c>
      <c r="I352" s="1" t="s">
        <v>34</v>
      </c>
      <c r="J352" s="1" t="s">
        <v>35</v>
      </c>
      <c r="K352" s="6" t="s">
        <v>40</v>
      </c>
      <c r="L352" s="1"/>
    </row>
    <row r="353" spans="1:12" ht="15.75" customHeight="1">
      <c r="A353" s="1" t="s">
        <v>1187</v>
      </c>
      <c r="B353" s="2" t="s">
        <v>1112</v>
      </c>
      <c r="C353" s="2" t="s">
        <v>1079</v>
      </c>
      <c r="D353" s="2" t="s">
        <v>1080</v>
      </c>
      <c r="E353" s="2" t="s">
        <v>1113</v>
      </c>
      <c r="F353" s="2" t="s">
        <v>46</v>
      </c>
      <c r="G353" s="8" t="s">
        <v>1114</v>
      </c>
      <c r="H353" s="2" t="s">
        <v>1188</v>
      </c>
      <c r="I353" s="1" t="s">
        <v>34</v>
      </c>
      <c r="J353" s="1" t="s">
        <v>35</v>
      </c>
      <c r="K353" s="6" t="s">
        <v>40</v>
      </c>
      <c r="L353" s="1"/>
    </row>
    <row r="354" spans="1:12" ht="15.75" customHeight="1">
      <c r="A354" s="1" t="s">
        <v>1189</v>
      </c>
      <c r="B354" s="2" t="s">
        <v>1176</v>
      </c>
      <c r="C354" s="2" t="s">
        <v>1079</v>
      </c>
      <c r="D354" s="2" t="s">
        <v>1080</v>
      </c>
      <c r="E354" s="2" t="s">
        <v>1177</v>
      </c>
      <c r="F354" s="2" t="s">
        <v>140</v>
      </c>
      <c r="G354" s="8" t="s">
        <v>1178</v>
      </c>
      <c r="H354" s="2" t="s">
        <v>1190</v>
      </c>
      <c r="I354" s="1" t="s">
        <v>1105</v>
      </c>
      <c r="J354" s="1" t="s">
        <v>19</v>
      </c>
      <c r="K354" s="6" t="s">
        <v>40</v>
      </c>
      <c r="L354" s="1"/>
    </row>
    <row r="355" spans="1:12" ht="15.75" customHeight="1">
      <c r="A355" s="1" t="s">
        <v>1191</v>
      </c>
      <c r="B355" s="2" t="s">
        <v>1181</v>
      </c>
      <c r="C355" s="2" t="s">
        <v>1079</v>
      </c>
      <c r="D355" s="2" t="s">
        <v>1080</v>
      </c>
      <c r="E355" s="2" t="s">
        <v>1182</v>
      </c>
      <c r="F355" s="2" t="s">
        <v>24</v>
      </c>
      <c r="G355" s="8" t="s">
        <v>1183</v>
      </c>
      <c r="H355" s="2" t="s">
        <v>1192</v>
      </c>
      <c r="I355" s="1" t="s">
        <v>34</v>
      </c>
      <c r="J355" s="1" t="s">
        <v>35</v>
      </c>
      <c r="K355" s="6" t="s">
        <v>40</v>
      </c>
      <c r="L355" s="1"/>
    </row>
    <row r="356" spans="1:12" ht="15.75" customHeight="1">
      <c r="A356" s="1" t="s">
        <v>1193</v>
      </c>
      <c r="B356" s="2" t="s">
        <v>1091</v>
      </c>
      <c r="C356" s="2" t="s">
        <v>1079</v>
      </c>
      <c r="D356" s="2" t="s">
        <v>1080</v>
      </c>
      <c r="E356" s="2" t="s">
        <v>1092</v>
      </c>
      <c r="F356" s="2" t="s">
        <v>180</v>
      </c>
      <c r="G356" s="8" t="s">
        <v>1093</v>
      </c>
      <c r="H356" s="2" t="s">
        <v>1194</v>
      </c>
      <c r="I356" s="1" t="s">
        <v>18</v>
      </c>
      <c r="J356" s="1" t="s">
        <v>19</v>
      </c>
      <c r="K356" s="6" t="s">
        <v>40</v>
      </c>
      <c r="L356" s="1"/>
    </row>
    <row r="357" spans="1:12" ht="15.75" customHeight="1">
      <c r="A357" s="1" t="s">
        <v>1195</v>
      </c>
      <c r="B357" s="2" t="s">
        <v>1086</v>
      </c>
      <c r="C357" s="2" t="s">
        <v>1079</v>
      </c>
      <c r="D357" s="2" t="s">
        <v>1080</v>
      </c>
      <c r="E357" s="2" t="s">
        <v>1087</v>
      </c>
      <c r="F357" s="2" t="s">
        <v>46</v>
      </c>
      <c r="G357" s="8" t="s">
        <v>1088</v>
      </c>
      <c r="H357" s="2" t="s">
        <v>1196</v>
      </c>
      <c r="I357" s="1" t="s">
        <v>160</v>
      </c>
      <c r="J357" s="1" t="s">
        <v>78</v>
      </c>
      <c r="K357" s="6" t="s">
        <v>40</v>
      </c>
      <c r="L357" s="1"/>
    </row>
    <row r="358" spans="1:12" ht="15.75" customHeight="1">
      <c r="A358" s="1" t="s">
        <v>1197</v>
      </c>
      <c r="B358" s="2" t="s">
        <v>1107</v>
      </c>
      <c r="C358" s="2" t="s">
        <v>1079</v>
      </c>
      <c r="D358" s="2" t="s">
        <v>1080</v>
      </c>
      <c r="E358" s="2" t="s">
        <v>1108</v>
      </c>
      <c r="F358" s="2" t="s">
        <v>15</v>
      </c>
      <c r="G358" s="8" t="s">
        <v>1109</v>
      </c>
      <c r="H358" s="2" t="s">
        <v>1198</v>
      </c>
      <c r="I358" s="1" t="s">
        <v>1105</v>
      </c>
      <c r="J358" s="1" t="s">
        <v>19</v>
      </c>
      <c r="K358" s="6" t="s">
        <v>40</v>
      </c>
      <c r="L358" s="1"/>
    </row>
    <row r="359" spans="1:12" ht="15.75" customHeight="1">
      <c r="A359" s="1" t="s">
        <v>1199</v>
      </c>
      <c r="B359" s="2" t="s">
        <v>1078</v>
      </c>
      <c r="C359" s="2" t="s">
        <v>1079</v>
      </c>
      <c r="D359" s="2" t="s">
        <v>1080</v>
      </c>
      <c r="E359" s="2" t="s">
        <v>1081</v>
      </c>
      <c r="F359" s="2" t="s">
        <v>61</v>
      </c>
      <c r="G359" s="8" t="s">
        <v>1082</v>
      </c>
      <c r="H359" s="2" t="s">
        <v>1200</v>
      </c>
      <c r="I359" s="1" t="s">
        <v>160</v>
      </c>
      <c r="J359" s="1" t="s">
        <v>78</v>
      </c>
      <c r="K359" s="6" t="s">
        <v>40</v>
      </c>
      <c r="L359" s="1"/>
    </row>
    <row r="360" spans="1:12" ht="15.75" customHeight="1">
      <c r="A360" s="1" t="s">
        <v>1201</v>
      </c>
      <c r="B360" s="2" t="s">
        <v>1202</v>
      </c>
      <c r="C360" s="2" t="s">
        <v>1203</v>
      </c>
      <c r="D360" s="2" t="s">
        <v>1204</v>
      </c>
      <c r="E360" s="2" t="s">
        <v>1205</v>
      </c>
      <c r="F360" s="2" t="s">
        <v>140</v>
      </c>
      <c r="G360" s="8" t="s">
        <v>1206</v>
      </c>
      <c r="H360" s="2" t="s">
        <v>1207</v>
      </c>
      <c r="I360" s="1" t="s">
        <v>34</v>
      </c>
      <c r="J360" s="1" t="s">
        <v>35</v>
      </c>
      <c r="K360" s="6" t="s">
        <v>40</v>
      </c>
      <c r="L360" s="1"/>
    </row>
    <row r="361" spans="1:12" ht="15.75" customHeight="1">
      <c r="A361" s="1" t="s">
        <v>1208</v>
      </c>
      <c r="B361" s="2" t="s">
        <v>1202</v>
      </c>
      <c r="C361" s="2" t="s">
        <v>1203</v>
      </c>
      <c r="D361" s="2" t="s">
        <v>1204</v>
      </c>
      <c r="E361" s="2" t="s">
        <v>1205</v>
      </c>
      <c r="F361" s="2" t="s">
        <v>140</v>
      </c>
      <c r="G361" s="2" t="s">
        <v>1206</v>
      </c>
      <c r="H361" s="2" t="s">
        <v>1209</v>
      </c>
      <c r="I361" s="1" t="s">
        <v>34</v>
      </c>
      <c r="J361" s="1" t="s">
        <v>35</v>
      </c>
      <c r="K361" s="6" t="s">
        <v>40</v>
      </c>
      <c r="L361" s="1"/>
    </row>
    <row r="362" spans="1:12" ht="15.75" customHeight="1">
      <c r="A362" s="1" t="s">
        <v>1210</v>
      </c>
      <c r="B362" s="2" t="s">
        <v>1202</v>
      </c>
      <c r="C362" s="2" t="s">
        <v>1203</v>
      </c>
      <c r="D362" s="2" t="s">
        <v>1204</v>
      </c>
      <c r="E362" s="2" t="s">
        <v>1205</v>
      </c>
      <c r="F362" s="2" t="s">
        <v>140</v>
      </c>
      <c r="G362" s="2" t="s">
        <v>1206</v>
      </c>
      <c r="H362" s="2" t="s">
        <v>1211</v>
      </c>
      <c r="I362" s="1" t="s">
        <v>1105</v>
      </c>
      <c r="J362" s="1" t="s">
        <v>19</v>
      </c>
      <c r="K362" s="6" t="s">
        <v>40</v>
      </c>
      <c r="L362" s="1"/>
    </row>
    <row r="363" spans="1:12" ht="15.75" customHeight="1">
      <c r="A363" s="1" t="s">
        <v>1212</v>
      </c>
      <c r="B363" s="2" t="s">
        <v>1213</v>
      </c>
      <c r="C363" s="2" t="s">
        <v>1214</v>
      </c>
      <c r="D363" s="2" t="s">
        <v>1215</v>
      </c>
      <c r="E363" s="2" t="s">
        <v>1216</v>
      </c>
      <c r="F363" s="2" t="s">
        <v>120</v>
      </c>
      <c r="G363" s="8" t="s">
        <v>1217</v>
      </c>
      <c r="H363" s="2" t="s">
        <v>1218</v>
      </c>
      <c r="I363" s="1" t="s">
        <v>34</v>
      </c>
      <c r="J363" s="1" t="s">
        <v>35</v>
      </c>
      <c r="K363" s="6" t="s">
        <v>40</v>
      </c>
      <c r="L363" s="1"/>
    </row>
    <row r="364" spans="1:12" ht="15.75" customHeight="1">
      <c r="A364" s="1" t="s">
        <v>1219</v>
      </c>
      <c r="B364" s="2" t="s">
        <v>1213</v>
      </c>
      <c r="C364" s="2" t="s">
        <v>1214</v>
      </c>
      <c r="D364" s="2" t="s">
        <v>1215</v>
      </c>
      <c r="E364" s="2" t="s">
        <v>1216</v>
      </c>
      <c r="F364" s="2" t="s">
        <v>120</v>
      </c>
      <c r="G364" s="8" t="s">
        <v>1217</v>
      </c>
      <c r="H364" s="2" t="s">
        <v>1220</v>
      </c>
      <c r="I364" s="1" t="s">
        <v>18</v>
      </c>
      <c r="J364" s="1" t="s">
        <v>19</v>
      </c>
      <c r="K364" s="6" t="s">
        <v>40</v>
      </c>
      <c r="L364" s="1"/>
    </row>
    <row r="365" spans="1:12" ht="15.75" customHeight="1">
      <c r="A365" s="1" t="s">
        <v>1221</v>
      </c>
      <c r="B365" s="2" t="s">
        <v>1213</v>
      </c>
      <c r="C365" s="2" t="s">
        <v>1214</v>
      </c>
      <c r="D365" s="2" t="s">
        <v>1215</v>
      </c>
      <c r="E365" s="2" t="s">
        <v>1216</v>
      </c>
      <c r="F365" s="2" t="s">
        <v>120</v>
      </c>
      <c r="G365" s="8" t="s">
        <v>1217</v>
      </c>
      <c r="H365" s="2" t="s">
        <v>1222</v>
      </c>
      <c r="I365" s="1" t="s">
        <v>18</v>
      </c>
      <c r="J365" s="1" t="s">
        <v>19</v>
      </c>
      <c r="K365" s="6" t="s">
        <v>40</v>
      </c>
      <c r="L365" s="1"/>
    </row>
    <row r="366" spans="1:12" ht="15.75" customHeight="1">
      <c r="A366" s="1" t="s">
        <v>1223</v>
      </c>
      <c r="B366" s="2" t="s">
        <v>1224</v>
      </c>
      <c r="C366" s="2" t="s">
        <v>1225</v>
      </c>
      <c r="D366" s="2" t="s">
        <v>1226</v>
      </c>
      <c r="E366" s="2" t="s">
        <v>1227</v>
      </c>
      <c r="F366" s="2" t="s">
        <v>140</v>
      </c>
      <c r="G366" s="8" t="s">
        <v>1228</v>
      </c>
      <c r="H366" s="2" t="s">
        <v>1229</v>
      </c>
      <c r="I366" s="1" t="s">
        <v>34</v>
      </c>
      <c r="J366" s="1" t="s">
        <v>35</v>
      </c>
      <c r="K366" s="6" t="s">
        <v>40</v>
      </c>
      <c r="L366" s="1"/>
    </row>
    <row r="367" spans="1:12" ht="15.75" customHeight="1">
      <c r="A367" s="1" t="s">
        <v>1230</v>
      </c>
      <c r="B367" s="2" t="s">
        <v>1231</v>
      </c>
      <c r="C367" s="2" t="s">
        <v>1225</v>
      </c>
      <c r="D367" s="2" t="s">
        <v>1226</v>
      </c>
      <c r="E367" s="2" t="s">
        <v>1232</v>
      </c>
      <c r="F367" s="2" t="s">
        <v>140</v>
      </c>
      <c r="G367" s="8" t="s">
        <v>1233</v>
      </c>
      <c r="H367" s="2" t="s">
        <v>1234</v>
      </c>
      <c r="I367" s="1" t="s">
        <v>18</v>
      </c>
      <c r="J367" s="1" t="s">
        <v>19</v>
      </c>
      <c r="K367" s="6" t="s">
        <v>40</v>
      </c>
      <c r="L367" s="1"/>
    </row>
    <row r="368" spans="1:12" ht="15.75" customHeight="1">
      <c r="A368" s="1" t="s">
        <v>1235</v>
      </c>
      <c r="B368" s="2" t="s">
        <v>1236</v>
      </c>
      <c r="C368" s="2" t="s">
        <v>1225</v>
      </c>
      <c r="D368" s="2" t="s">
        <v>1226</v>
      </c>
      <c r="E368" s="2" t="s">
        <v>1237</v>
      </c>
      <c r="F368" s="2" t="s">
        <v>140</v>
      </c>
      <c r="G368" s="8" t="s">
        <v>1238</v>
      </c>
      <c r="H368" s="4" t="s">
        <v>1239</v>
      </c>
      <c r="I368" s="1" t="s">
        <v>351</v>
      </c>
      <c r="J368" s="1" t="s">
        <v>28</v>
      </c>
      <c r="K368" s="6" t="s">
        <v>40</v>
      </c>
      <c r="L368" s="1"/>
    </row>
    <row r="369" spans="1:12" ht="15.75" customHeight="1">
      <c r="A369" s="1" t="s">
        <v>1240</v>
      </c>
      <c r="B369" s="2" t="s">
        <v>1241</v>
      </c>
      <c r="C369" s="2" t="s">
        <v>1225</v>
      </c>
      <c r="D369" s="2" t="s">
        <v>1226</v>
      </c>
      <c r="E369" s="2" t="s">
        <v>1242</v>
      </c>
      <c r="F369" s="2" t="s">
        <v>61</v>
      </c>
      <c r="G369" s="8" t="s">
        <v>1243</v>
      </c>
      <c r="H369" s="2" t="s">
        <v>1244</v>
      </c>
      <c r="I369" s="1" t="s">
        <v>1245</v>
      </c>
      <c r="J369" s="1" t="s">
        <v>28</v>
      </c>
      <c r="K369" s="6" t="s">
        <v>40</v>
      </c>
      <c r="L369" s="1"/>
    </row>
    <row r="370" spans="1:12" ht="15.75" customHeight="1">
      <c r="A370" s="1" t="s">
        <v>1246</v>
      </c>
      <c r="B370" s="2" t="s">
        <v>1247</v>
      </c>
      <c r="C370" s="2" t="s">
        <v>1225</v>
      </c>
      <c r="D370" s="2" t="s">
        <v>1226</v>
      </c>
      <c r="E370" s="2" t="s">
        <v>1248</v>
      </c>
      <c r="F370" s="2" t="s">
        <v>61</v>
      </c>
      <c r="G370" s="8" t="s">
        <v>1249</v>
      </c>
      <c r="H370" s="2" t="s">
        <v>1250</v>
      </c>
      <c r="I370" s="1" t="s">
        <v>27</v>
      </c>
      <c r="J370" s="1" t="s">
        <v>28</v>
      </c>
      <c r="K370" s="6" t="s">
        <v>40</v>
      </c>
      <c r="L370" s="1"/>
    </row>
    <row r="371" spans="1:12" ht="15.75" customHeight="1">
      <c r="A371" s="1" t="s">
        <v>1251</v>
      </c>
      <c r="B371" s="2" t="s">
        <v>1252</v>
      </c>
      <c r="C371" s="2" t="s">
        <v>1225</v>
      </c>
      <c r="D371" s="2" t="s">
        <v>1226</v>
      </c>
      <c r="E371" s="2" t="s">
        <v>1253</v>
      </c>
      <c r="F371" s="2" t="s">
        <v>140</v>
      </c>
      <c r="G371" s="8" t="s">
        <v>1254</v>
      </c>
      <c r="H371" s="2" t="s">
        <v>1255</v>
      </c>
      <c r="I371" s="1" t="s">
        <v>351</v>
      </c>
      <c r="J371" s="1" t="s">
        <v>28</v>
      </c>
      <c r="K371" s="6" t="s">
        <v>40</v>
      </c>
      <c r="L371" s="1"/>
    </row>
    <row r="372" spans="1:12" ht="15.75" customHeight="1">
      <c r="A372" s="1" t="s">
        <v>1256</v>
      </c>
      <c r="B372" s="2" t="s">
        <v>1257</v>
      </c>
      <c r="C372" s="2" t="s">
        <v>1225</v>
      </c>
      <c r="D372" s="2" t="s">
        <v>1226</v>
      </c>
      <c r="E372" s="2" t="s">
        <v>1258</v>
      </c>
      <c r="F372" s="2" t="s">
        <v>61</v>
      </c>
      <c r="G372" s="8" t="s">
        <v>1259</v>
      </c>
      <c r="H372" s="2" t="s">
        <v>1260</v>
      </c>
      <c r="I372" s="1" t="s">
        <v>27</v>
      </c>
      <c r="J372" s="1" t="s">
        <v>28</v>
      </c>
      <c r="K372" s="6" t="s">
        <v>40</v>
      </c>
      <c r="L372" s="1"/>
    </row>
    <row r="373" spans="1:12" ht="15.75" customHeight="1">
      <c r="A373" s="1" t="s">
        <v>1261</v>
      </c>
      <c r="B373" s="2" t="s">
        <v>1262</v>
      </c>
      <c r="C373" s="2" t="s">
        <v>1225</v>
      </c>
      <c r="D373" s="2" t="s">
        <v>1226</v>
      </c>
      <c r="E373" s="2" t="s">
        <v>1263</v>
      </c>
      <c r="F373" s="2" t="s">
        <v>15</v>
      </c>
      <c r="G373" s="8" t="s">
        <v>1264</v>
      </c>
      <c r="H373" s="2" t="s">
        <v>1265</v>
      </c>
      <c r="I373" s="1" t="s">
        <v>34</v>
      </c>
      <c r="J373" s="1" t="s">
        <v>35</v>
      </c>
      <c r="K373" s="6" t="s">
        <v>40</v>
      </c>
      <c r="L373" s="1"/>
    </row>
    <row r="374" spans="1:12" ht="15.75" customHeight="1">
      <c r="A374" s="1" t="s">
        <v>1266</v>
      </c>
      <c r="B374" s="2" t="s">
        <v>1252</v>
      </c>
      <c r="C374" s="2" t="s">
        <v>1225</v>
      </c>
      <c r="D374" s="2" t="s">
        <v>1226</v>
      </c>
      <c r="E374" s="2" t="s">
        <v>1253</v>
      </c>
      <c r="F374" s="2" t="s">
        <v>140</v>
      </c>
      <c r="G374" s="8" t="s">
        <v>1254</v>
      </c>
      <c r="H374" s="2" t="s">
        <v>1267</v>
      </c>
      <c r="I374" s="1" t="s">
        <v>351</v>
      </c>
      <c r="J374" s="1" t="s">
        <v>28</v>
      </c>
      <c r="K374" s="6" t="s">
        <v>40</v>
      </c>
      <c r="L374" s="1"/>
    </row>
    <row r="375" spans="1:12" ht="15.75" customHeight="1">
      <c r="A375" s="1" t="s">
        <v>1268</v>
      </c>
      <c r="B375" s="2" t="s">
        <v>1224</v>
      </c>
      <c r="C375" s="2" t="s">
        <v>1225</v>
      </c>
      <c r="D375" s="2" t="s">
        <v>1226</v>
      </c>
      <c r="E375" s="2" t="s">
        <v>1227</v>
      </c>
      <c r="F375" s="2" t="s">
        <v>140</v>
      </c>
      <c r="G375" s="8" t="s">
        <v>1228</v>
      </c>
      <c r="H375" s="2" t="s">
        <v>1269</v>
      </c>
      <c r="I375" s="1" t="s">
        <v>351</v>
      </c>
      <c r="J375" s="1" t="s">
        <v>28</v>
      </c>
      <c r="K375" s="6" t="s">
        <v>40</v>
      </c>
      <c r="L375" s="1"/>
    </row>
    <row r="376" spans="1:12" ht="15.75" customHeight="1">
      <c r="A376" s="1" t="s">
        <v>1270</v>
      </c>
      <c r="B376" s="2" t="s">
        <v>1257</v>
      </c>
      <c r="C376" s="2" t="s">
        <v>1225</v>
      </c>
      <c r="D376" s="2" t="s">
        <v>1226</v>
      </c>
      <c r="E376" s="2" t="s">
        <v>1258</v>
      </c>
      <c r="F376" s="2" t="s">
        <v>61</v>
      </c>
      <c r="G376" s="8" t="s">
        <v>1259</v>
      </c>
      <c r="H376" s="2" t="s">
        <v>1271</v>
      </c>
      <c r="I376" s="1" t="s">
        <v>27</v>
      </c>
      <c r="J376" s="1" t="s">
        <v>28</v>
      </c>
      <c r="K376" s="6" t="s">
        <v>40</v>
      </c>
      <c r="L376" s="1"/>
    </row>
    <row r="377" spans="1:12" ht="15.75" customHeight="1">
      <c r="A377" s="1" t="s">
        <v>1272</v>
      </c>
      <c r="B377" s="2" t="s">
        <v>1273</v>
      </c>
      <c r="C377" s="2" t="s">
        <v>1225</v>
      </c>
      <c r="D377" s="2" t="s">
        <v>1226</v>
      </c>
      <c r="E377" s="2" t="s">
        <v>1274</v>
      </c>
      <c r="F377" s="2" t="s">
        <v>180</v>
      </c>
      <c r="G377" s="8" t="s">
        <v>1275</v>
      </c>
      <c r="H377" s="2" t="s">
        <v>1276</v>
      </c>
      <c r="I377" s="1" t="s">
        <v>34</v>
      </c>
      <c r="J377" s="1" t="s">
        <v>35</v>
      </c>
      <c r="K377" s="6" t="s">
        <v>40</v>
      </c>
      <c r="L377" s="1"/>
    </row>
    <row r="378" spans="1:12" ht="15.75" customHeight="1">
      <c r="A378" s="1" t="s">
        <v>1277</v>
      </c>
      <c r="B378" s="2" t="s">
        <v>1278</v>
      </c>
      <c r="C378" s="2" t="s">
        <v>1225</v>
      </c>
      <c r="D378" s="2" t="s">
        <v>1226</v>
      </c>
      <c r="E378" s="2" t="s">
        <v>1279</v>
      </c>
      <c r="F378" s="2" t="s">
        <v>140</v>
      </c>
      <c r="G378" s="8" t="s">
        <v>1280</v>
      </c>
      <c r="H378" s="2" t="s">
        <v>1281</v>
      </c>
      <c r="I378" s="1" t="s">
        <v>351</v>
      </c>
      <c r="J378" s="1" t="s">
        <v>28</v>
      </c>
      <c r="K378" s="6" t="s">
        <v>40</v>
      </c>
      <c r="L378" s="1"/>
    </row>
    <row r="379" spans="1:12" ht="15.75" customHeight="1">
      <c r="A379" s="1" t="s">
        <v>1282</v>
      </c>
      <c r="B379" s="2" t="s">
        <v>1262</v>
      </c>
      <c r="C379" s="2" t="s">
        <v>1225</v>
      </c>
      <c r="D379" s="2" t="s">
        <v>1226</v>
      </c>
      <c r="E379" s="2" t="s">
        <v>1263</v>
      </c>
      <c r="F379" s="2" t="s">
        <v>15</v>
      </c>
      <c r="G379" s="8" t="s">
        <v>1264</v>
      </c>
      <c r="H379" s="2" t="s">
        <v>1283</v>
      </c>
      <c r="I379" s="1" t="s">
        <v>34</v>
      </c>
      <c r="J379" s="1" t="s">
        <v>35</v>
      </c>
      <c r="K379" s="6" t="s">
        <v>40</v>
      </c>
      <c r="L379" s="1"/>
    </row>
    <row r="380" spans="1:12" ht="15.75" customHeight="1">
      <c r="A380" s="1" t="s">
        <v>1284</v>
      </c>
      <c r="B380" s="2" t="s">
        <v>1224</v>
      </c>
      <c r="C380" s="2" t="s">
        <v>1225</v>
      </c>
      <c r="D380" s="2" t="s">
        <v>1226</v>
      </c>
      <c r="E380" s="2" t="s">
        <v>1227</v>
      </c>
      <c r="F380" s="2" t="s">
        <v>140</v>
      </c>
      <c r="G380" s="8" t="s">
        <v>1228</v>
      </c>
      <c r="H380" s="2" t="s">
        <v>1285</v>
      </c>
      <c r="I380" s="1" t="s">
        <v>351</v>
      </c>
      <c r="J380" s="1" t="s">
        <v>28</v>
      </c>
      <c r="K380" s="6" t="s">
        <v>40</v>
      </c>
      <c r="L380" s="1"/>
    </row>
    <row r="381" spans="1:12" ht="15.75" customHeight="1">
      <c r="A381" s="1" t="s">
        <v>1286</v>
      </c>
      <c r="B381" s="2" t="s">
        <v>1231</v>
      </c>
      <c r="C381" s="2" t="s">
        <v>1225</v>
      </c>
      <c r="D381" s="2" t="s">
        <v>1226</v>
      </c>
      <c r="E381" s="2" t="s">
        <v>1232</v>
      </c>
      <c r="F381" s="2" t="s">
        <v>140</v>
      </c>
      <c r="G381" s="8" t="s">
        <v>1233</v>
      </c>
      <c r="H381" s="2" t="s">
        <v>1287</v>
      </c>
      <c r="I381" s="1" t="s">
        <v>18</v>
      </c>
      <c r="J381" s="1" t="s">
        <v>19</v>
      </c>
      <c r="K381" s="6" t="s">
        <v>40</v>
      </c>
      <c r="L381" s="1"/>
    </row>
    <row r="382" spans="1:12" ht="15.75" customHeight="1">
      <c r="A382" s="1" t="s">
        <v>1288</v>
      </c>
      <c r="B382" s="2" t="s">
        <v>1257</v>
      </c>
      <c r="C382" s="2" t="s">
        <v>1225</v>
      </c>
      <c r="D382" s="2" t="s">
        <v>1226</v>
      </c>
      <c r="E382" s="2" t="s">
        <v>1258</v>
      </c>
      <c r="F382" s="2" t="s">
        <v>61</v>
      </c>
      <c r="G382" s="8" t="s">
        <v>1259</v>
      </c>
      <c r="H382" s="2" t="s">
        <v>1289</v>
      </c>
      <c r="I382" s="1" t="s">
        <v>27</v>
      </c>
      <c r="J382" s="1" t="s">
        <v>28</v>
      </c>
      <c r="K382" s="6" t="s">
        <v>40</v>
      </c>
      <c r="L382" s="1"/>
    </row>
    <row r="383" spans="1:12" ht="15.75" customHeight="1">
      <c r="A383" s="1" t="s">
        <v>1290</v>
      </c>
      <c r="B383" s="2" t="s">
        <v>1291</v>
      </c>
      <c r="C383" s="2" t="s">
        <v>1292</v>
      </c>
      <c r="D383" s="2" t="s">
        <v>1293</v>
      </c>
      <c r="E383" s="2" t="s">
        <v>1294</v>
      </c>
      <c r="F383" s="2" t="s">
        <v>120</v>
      </c>
      <c r="G383" s="2" t="s">
        <v>1295</v>
      </c>
      <c r="H383" s="2" t="s">
        <v>1296</v>
      </c>
      <c r="I383" s="1" t="s">
        <v>1297</v>
      </c>
      <c r="J383" s="1" t="s">
        <v>50</v>
      </c>
      <c r="K383" s="6" t="s">
        <v>40</v>
      </c>
      <c r="L383" s="1"/>
    </row>
    <row r="384" spans="1:12" ht="15.75" customHeight="1">
      <c r="A384" s="1" t="s">
        <v>1298</v>
      </c>
      <c r="B384" s="2" t="s">
        <v>1291</v>
      </c>
      <c r="C384" s="2" t="s">
        <v>1292</v>
      </c>
      <c r="D384" s="2" t="s">
        <v>1293</v>
      </c>
      <c r="E384" s="2" t="s">
        <v>1294</v>
      </c>
      <c r="F384" s="2" t="s">
        <v>120</v>
      </c>
      <c r="G384" s="2" t="s">
        <v>1295</v>
      </c>
      <c r="H384" s="2" t="s">
        <v>1299</v>
      </c>
      <c r="I384" s="1" t="s">
        <v>27</v>
      </c>
      <c r="J384" s="1" t="s">
        <v>28</v>
      </c>
      <c r="K384" s="6" t="s">
        <v>40</v>
      </c>
      <c r="L384" s="1"/>
    </row>
    <row r="385" spans="1:12" ht="15.75" customHeight="1">
      <c r="A385" s="1" t="s">
        <v>1300</v>
      </c>
      <c r="B385" s="2" t="s">
        <v>1291</v>
      </c>
      <c r="C385" s="2" t="s">
        <v>1292</v>
      </c>
      <c r="D385" s="2" t="s">
        <v>1293</v>
      </c>
      <c r="E385" s="2" t="s">
        <v>1294</v>
      </c>
      <c r="F385" s="2" t="s">
        <v>120</v>
      </c>
      <c r="G385" s="2" t="s">
        <v>1295</v>
      </c>
      <c r="H385" s="2" t="s">
        <v>1301</v>
      </c>
      <c r="I385" s="1" t="s">
        <v>1297</v>
      </c>
      <c r="J385" s="1" t="s">
        <v>50</v>
      </c>
      <c r="K385" s="6" t="s">
        <v>40</v>
      </c>
      <c r="L385" s="1"/>
    </row>
    <row r="386" spans="1:12" ht="15.75" customHeight="1">
      <c r="A386" s="1" t="s">
        <v>1302</v>
      </c>
      <c r="B386" s="2" t="s">
        <v>1291</v>
      </c>
      <c r="C386" s="2" t="s">
        <v>1292</v>
      </c>
      <c r="D386" s="2" t="s">
        <v>1293</v>
      </c>
      <c r="E386" s="2" t="s">
        <v>1294</v>
      </c>
      <c r="F386" s="2" t="s">
        <v>120</v>
      </c>
      <c r="G386" s="2" t="s">
        <v>1295</v>
      </c>
      <c r="H386" s="2" t="s">
        <v>1303</v>
      </c>
      <c r="I386" s="1" t="s">
        <v>1297</v>
      </c>
      <c r="J386" s="1" t="s">
        <v>50</v>
      </c>
      <c r="K386" s="6" t="s">
        <v>40</v>
      </c>
      <c r="L386" s="1"/>
    </row>
    <row r="387" spans="1:12" ht="15.75" customHeight="1">
      <c r="A387" s="1" t="s">
        <v>1304</v>
      </c>
      <c r="B387" s="2" t="s">
        <v>1291</v>
      </c>
      <c r="C387" s="2" t="s">
        <v>1292</v>
      </c>
      <c r="D387" s="2" t="s">
        <v>1293</v>
      </c>
      <c r="E387" s="2" t="s">
        <v>1294</v>
      </c>
      <c r="F387" s="2" t="s">
        <v>120</v>
      </c>
      <c r="G387" s="2" t="s">
        <v>1295</v>
      </c>
      <c r="H387" s="2" t="s">
        <v>1305</v>
      </c>
      <c r="I387" s="1" t="s">
        <v>34</v>
      </c>
      <c r="J387" s="1" t="s">
        <v>35</v>
      </c>
      <c r="K387" s="6" t="s">
        <v>40</v>
      </c>
      <c r="L387" s="1"/>
    </row>
    <row r="388" spans="1:12" ht="15.75" customHeight="1">
      <c r="A388" s="1" t="s">
        <v>1306</v>
      </c>
      <c r="B388" s="2" t="s">
        <v>1291</v>
      </c>
      <c r="C388" s="2" t="s">
        <v>1292</v>
      </c>
      <c r="D388" s="2" t="s">
        <v>1293</v>
      </c>
      <c r="E388" s="2" t="s">
        <v>1294</v>
      </c>
      <c r="F388" s="2" t="s">
        <v>120</v>
      </c>
      <c r="G388" s="2" t="s">
        <v>1295</v>
      </c>
      <c r="H388" s="2" t="s">
        <v>1307</v>
      </c>
      <c r="I388" s="1" t="s">
        <v>34</v>
      </c>
      <c r="J388" s="1" t="s">
        <v>35</v>
      </c>
      <c r="K388" s="6" t="s">
        <v>40</v>
      </c>
      <c r="L388" s="1"/>
    </row>
    <row r="389" spans="1:12" ht="15.75" customHeight="1">
      <c r="A389" s="1" t="s">
        <v>1308</v>
      </c>
      <c r="B389" s="2" t="s">
        <v>1291</v>
      </c>
      <c r="C389" s="2" t="s">
        <v>1292</v>
      </c>
      <c r="D389" s="2" t="s">
        <v>1293</v>
      </c>
      <c r="E389" s="2" t="s">
        <v>1294</v>
      </c>
      <c r="F389" s="2" t="s">
        <v>120</v>
      </c>
      <c r="G389" s="2" t="s">
        <v>1295</v>
      </c>
      <c r="H389" s="2" t="s">
        <v>1309</v>
      </c>
      <c r="I389" s="1" t="s">
        <v>1297</v>
      </c>
      <c r="J389" s="1" t="s">
        <v>50</v>
      </c>
      <c r="K389" s="6" t="s">
        <v>40</v>
      </c>
      <c r="L389" s="1"/>
    </row>
    <row r="390" spans="1:12" ht="15.75" customHeight="1">
      <c r="A390" s="1" t="s">
        <v>1310</v>
      </c>
      <c r="B390" s="2" t="s">
        <v>1311</v>
      </c>
      <c r="C390" s="2" t="s">
        <v>1312</v>
      </c>
      <c r="D390" s="2" t="s">
        <v>1080</v>
      </c>
      <c r="E390" s="2" t="s">
        <v>1313</v>
      </c>
      <c r="F390" s="2" t="s">
        <v>89</v>
      </c>
      <c r="G390" s="2" t="s">
        <v>1314</v>
      </c>
      <c r="H390" s="2" t="s">
        <v>1315</v>
      </c>
      <c r="I390" s="1" t="s">
        <v>34</v>
      </c>
      <c r="J390" s="1" t="s">
        <v>35</v>
      </c>
      <c r="K390" s="6" t="s">
        <v>40</v>
      </c>
      <c r="L390" s="1"/>
    </row>
    <row r="391" spans="1:12" ht="15.75" customHeight="1">
      <c r="A391" s="1" t="s">
        <v>1316</v>
      </c>
      <c r="B391" s="2" t="s">
        <v>1311</v>
      </c>
      <c r="C391" s="2" t="s">
        <v>1312</v>
      </c>
      <c r="D391" s="2" t="s">
        <v>1080</v>
      </c>
      <c r="E391" s="2" t="s">
        <v>1313</v>
      </c>
      <c r="F391" s="2" t="s">
        <v>89</v>
      </c>
      <c r="G391" s="2" t="s">
        <v>1314</v>
      </c>
      <c r="H391" s="2" t="s">
        <v>1317</v>
      </c>
      <c r="I391" s="1" t="s">
        <v>160</v>
      </c>
      <c r="J391" s="1" t="s">
        <v>78</v>
      </c>
      <c r="K391" s="6" t="s">
        <v>40</v>
      </c>
      <c r="L391" s="1"/>
    </row>
    <row r="392" spans="1:12" ht="15.75" customHeight="1">
      <c r="A392" s="1" t="s">
        <v>1318</v>
      </c>
      <c r="B392" s="2" t="s">
        <v>1311</v>
      </c>
      <c r="C392" s="2" t="s">
        <v>1312</v>
      </c>
      <c r="D392" s="2" t="s">
        <v>1080</v>
      </c>
      <c r="E392" s="2" t="s">
        <v>1313</v>
      </c>
      <c r="F392" s="2" t="s">
        <v>89</v>
      </c>
      <c r="G392" s="2" t="s">
        <v>1314</v>
      </c>
      <c r="H392" s="2" t="s">
        <v>1319</v>
      </c>
      <c r="I392" s="1" t="s">
        <v>160</v>
      </c>
      <c r="J392" s="1" t="s">
        <v>78</v>
      </c>
      <c r="K392" s="6" t="s">
        <v>40</v>
      </c>
      <c r="L392" s="1"/>
    </row>
    <row r="393" spans="1:12" ht="15.75" customHeight="1">
      <c r="A393" s="1" t="s">
        <v>1320</v>
      </c>
      <c r="B393" s="2" t="s">
        <v>1321</v>
      </c>
      <c r="C393" s="2" t="s">
        <v>1322</v>
      </c>
      <c r="D393" s="2" t="s">
        <v>44</v>
      </c>
      <c r="E393" s="2" t="s">
        <v>1323</v>
      </c>
      <c r="F393" s="2" t="s">
        <v>157</v>
      </c>
      <c r="G393" s="2" t="s">
        <v>1324</v>
      </c>
      <c r="H393" s="2" t="s">
        <v>1325</v>
      </c>
      <c r="I393" s="1" t="s">
        <v>1326</v>
      </c>
      <c r="J393" s="1" t="s">
        <v>78</v>
      </c>
      <c r="K393" s="6" t="s">
        <v>40</v>
      </c>
      <c r="L393" s="1"/>
    </row>
    <row r="394" spans="1:12" ht="15.75" customHeight="1">
      <c r="A394" s="1" t="s">
        <v>1327</v>
      </c>
      <c r="B394" s="2" t="s">
        <v>1328</v>
      </c>
      <c r="C394" s="2" t="s">
        <v>1322</v>
      </c>
      <c r="D394" s="2" t="s">
        <v>44</v>
      </c>
      <c r="E394" s="2" t="s">
        <v>1329</v>
      </c>
      <c r="F394" s="2" t="s">
        <v>46</v>
      </c>
      <c r="G394" s="2" t="s">
        <v>1330</v>
      </c>
      <c r="H394" s="2" t="s">
        <v>1331</v>
      </c>
      <c r="I394" s="1" t="s">
        <v>34</v>
      </c>
      <c r="J394" s="1" t="s">
        <v>35</v>
      </c>
      <c r="K394" s="6" t="s">
        <v>40</v>
      </c>
      <c r="L394" s="1"/>
    </row>
    <row r="395" spans="1:12" ht="15.75" customHeight="1">
      <c r="A395" s="1" t="s">
        <v>1332</v>
      </c>
      <c r="B395" s="2" t="s">
        <v>1321</v>
      </c>
      <c r="C395" s="2" t="s">
        <v>1322</v>
      </c>
      <c r="D395" s="2" t="s">
        <v>44</v>
      </c>
      <c r="E395" s="2" t="s">
        <v>1323</v>
      </c>
      <c r="F395" s="2" t="s">
        <v>157</v>
      </c>
      <c r="G395" s="2" t="s">
        <v>1324</v>
      </c>
      <c r="H395" s="2" t="s">
        <v>1333</v>
      </c>
      <c r="I395" s="1" t="s">
        <v>1334</v>
      </c>
      <c r="J395" s="1" t="s">
        <v>19</v>
      </c>
      <c r="K395" s="6" t="s">
        <v>40</v>
      </c>
      <c r="L395" s="1"/>
    </row>
    <row r="396" spans="1:12" ht="15.75" customHeight="1">
      <c r="A396" s="1" t="s">
        <v>1335</v>
      </c>
      <c r="B396" s="2" t="s">
        <v>1321</v>
      </c>
      <c r="C396" s="2" t="s">
        <v>1322</v>
      </c>
      <c r="D396" s="2" t="s">
        <v>44</v>
      </c>
      <c r="E396" s="2" t="s">
        <v>1323</v>
      </c>
      <c r="F396" s="2" t="s">
        <v>157</v>
      </c>
      <c r="G396" s="2" t="s">
        <v>1324</v>
      </c>
      <c r="H396" s="2" t="s">
        <v>1336</v>
      </c>
      <c r="I396" s="1" t="s">
        <v>1334</v>
      </c>
      <c r="J396" s="1" t="s">
        <v>19</v>
      </c>
      <c r="K396" s="6" t="s">
        <v>40</v>
      </c>
      <c r="L396" s="1"/>
    </row>
    <row r="397" spans="1:12" ht="15.75" customHeight="1">
      <c r="A397" s="1" t="s">
        <v>1337</v>
      </c>
      <c r="B397" s="2" t="s">
        <v>1321</v>
      </c>
      <c r="C397" s="2" t="s">
        <v>1322</v>
      </c>
      <c r="D397" s="2" t="s">
        <v>44</v>
      </c>
      <c r="E397" s="2" t="s">
        <v>1323</v>
      </c>
      <c r="F397" s="2" t="s">
        <v>157</v>
      </c>
      <c r="G397" s="2" t="s">
        <v>1324</v>
      </c>
      <c r="H397" s="2" t="s">
        <v>1338</v>
      </c>
      <c r="I397" s="1" t="s">
        <v>1339</v>
      </c>
      <c r="J397" s="1" t="s">
        <v>35</v>
      </c>
      <c r="K397" s="6" t="s">
        <v>40</v>
      </c>
      <c r="L397" s="1"/>
    </row>
    <row r="398" spans="1:12" ht="15.75" customHeight="1">
      <c r="A398" s="1" t="s">
        <v>1340</v>
      </c>
      <c r="B398" s="2" t="s">
        <v>1328</v>
      </c>
      <c r="C398" s="2" t="s">
        <v>1322</v>
      </c>
      <c r="D398" s="2" t="s">
        <v>44</v>
      </c>
      <c r="E398" s="2" t="s">
        <v>1329</v>
      </c>
      <c r="F398" s="2" t="s">
        <v>46</v>
      </c>
      <c r="G398" s="2" t="s">
        <v>1330</v>
      </c>
      <c r="H398" s="2" t="s">
        <v>1341</v>
      </c>
      <c r="I398" s="1" t="s">
        <v>34</v>
      </c>
      <c r="J398" s="1" t="s">
        <v>35</v>
      </c>
      <c r="K398" s="6" t="s">
        <v>40</v>
      </c>
      <c r="L398" s="1"/>
    </row>
    <row r="399" spans="1:12" ht="15.75" customHeight="1">
      <c r="A399" s="1" t="s">
        <v>1342</v>
      </c>
      <c r="B399" s="2" t="s">
        <v>1321</v>
      </c>
      <c r="C399" s="2" t="s">
        <v>1322</v>
      </c>
      <c r="D399" s="2" t="s">
        <v>44</v>
      </c>
      <c r="E399" s="2" t="s">
        <v>1323</v>
      </c>
      <c r="F399" s="2" t="s">
        <v>157</v>
      </c>
      <c r="G399" s="2" t="s">
        <v>1324</v>
      </c>
      <c r="H399" s="2" t="s">
        <v>1343</v>
      </c>
      <c r="I399" s="1" t="s">
        <v>1344</v>
      </c>
      <c r="J399" s="1" t="s">
        <v>50</v>
      </c>
      <c r="K399" s="6" t="s">
        <v>144</v>
      </c>
      <c r="L399" s="20" t="s">
        <v>504</v>
      </c>
    </row>
    <row r="400" spans="1:12" ht="15.75" customHeight="1">
      <c r="A400" s="1" t="s">
        <v>1345</v>
      </c>
      <c r="B400" s="2" t="s">
        <v>1321</v>
      </c>
      <c r="C400" s="2" t="s">
        <v>1322</v>
      </c>
      <c r="D400" s="2" t="s">
        <v>44</v>
      </c>
      <c r="E400" s="2" t="s">
        <v>1323</v>
      </c>
      <c r="F400" s="2" t="s">
        <v>157</v>
      </c>
      <c r="G400" s="2" t="s">
        <v>1324</v>
      </c>
      <c r="H400" s="2" t="s">
        <v>1346</v>
      </c>
      <c r="I400" s="1" t="s">
        <v>1339</v>
      </c>
      <c r="J400" s="1" t="s">
        <v>35</v>
      </c>
      <c r="K400" s="6" t="s">
        <v>40</v>
      </c>
      <c r="L400" s="1"/>
    </row>
    <row r="401" spans="1:12" ht="15.75" customHeight="1">
      <c r="A401" s="1" t="s">
        <v>1347</v>
      </c>
      <c r="B401" s="2" t="s">
        <v>1328</v>
      </c>
      <c r="C401" s="2" t="s">
        <v>1322</v>
      </c>
      <c r="D401" s="2" t="s">
        <v>44</v>
      </c>
      <c r="E401" s="2" t="s">
        <v>1329</v>
      </c>
      <c r="F401" s="2" t="s">
        <v>46</v>
      </c>
      <c r="G401" s="2" t="s">
        <v>1330</v>
      </c>
      <c r="H401" s="2" t="s">
        <v>1348</v>
      </c>
      <c r="I401" s="1" t="s">
        <v>1349</v>
      </c>
      <c r="J401" s="1" t="s">
        <v>50</v>
      </c>
      <c r="K401" s="6" t="s">
        <v>40</v>
      </c>
      <c r="L401" s="1"/>
    </row>
    <row r="402" spans="1:12" ht="15.75" customHeight="1">
      <c r="A402" s="1" t="s">
        <v>1350</v>
      </c>
      <c r="B402" s="2" t="s">
        <v>1321</v>
      </c>
      <c r="C402" s="2" t="s">
        <v>1322</v>
      </c>
      <c r="D402" s="2" t="s">
        <v>44</v>
      </c>
      <c r="E402" s="2" t="s">
        <v>1323</v>
      </c>
      <c r="F402" s="2" t="s">
        <v>157</v>
      </c>
      <c r="G402" s="2" t="s">
        <v>1324</v>
      </c>
      <c r="H402" s="2" t="s">
        <v>1351</v>
      </c>
      <c r="I402" s="1" t="s">
        <v>1334</v>
      </c>
      <c r="J402" s="1" t="s">
        <v>19</v>
      </c>
      <c r="K402" s="6" t="s">
        <v>40</v>
      </c>
      <c r="L402" s="1"/>
    </row>
    <row r="403" spans="1:12" ht="15.75" customHeight="1">
      <c r="A403" s="1" t="s">
        <v>1352</v>
      </c>
      <c r="B403" s="2" t="s">
        <v>1321</v>
      </c>
      <c r="C403" s="2" t="s">
        <v>1322</v>
      </c>
      <c r="D403" s="2" t="s">
        <v>44</v>
      </c>
      <c r="E403" s="2" t="s">
        <v>1323</v>
      </c>
      <c r="F403" s="2" t="s">
        <v>157</v>
      </c>
      <c r="G403" s="2" t="s">
        <v>1324</v>
      </c>
      <c r="H403" s="2" t="s">
        <v>1353</v>
      </c>
      <c r="I403" s="1" t="s">
        <v>1339</v>
      </c>
      <c r="J403" s="1" t="s">
        <v>35</v>
      </c>
      <c r="K403" s="6" t="s">
        <v>40</v>
      </c>
      <c r="L403" s="1"/>
    </row>
    <row r="404" spans="1:12" ht="15.75" customHeight="1">
      <c r="A404" s="1" t="s">
        <v>1354</v>
      </c>
      <c r="B404" s="2" t="s">
        <v>1328</v>
      </c>
      <c r="C404" s="2" t="s">
        <v>1322</v>
      </c>
      <c r="D404" s="2" t="s">
        <v>44</v>
      </c>
      <c r="E404" s="2" t="s">
        <v>1329</v>
      </c>
      <c r="F404" s="2" t="s">
        <v>46</v>
      </c>
      <c r="G404" s="2" t="s">
        <v>1330</v>
      </c>
      <c r="H404" s="2" t="s">
        <v>1355</v>
      </c>
      <c r="I404" s="1" t="s">
        <v>18</v>
      </c>
      <c r="J404" s="1" t="s">
        <v>19</v>
      </c>
      <c r="K404" s="6" t="s">
        <v>40</v>
      </c>
      <c r="L404" s="1"/>
    </row>
    <row r="405" spans="1:12" ht="15.75" customHeight="1">
      <c r="A405" s="1" t="s">
        <v>1356</v>
      </c>
      <c r="B405" s="2" t="s">
        <v>1328</v>
      </c>
      <c r="C405" s="2" t="s">
        <v>1322</v>
      </c>
      <c r="D405" s="2" t="s">
        <v>44</v>
      </c>
      <c r="E405" s="2" t="s">
        <v>1329</v>
      </c>
      <c r="F405" s="2" t="s">
        <v>46</v>
      </c>
      <c r="G405" s="2" t="s">
        <v>1330</v>
      </c>
      <c r="H405" s="2" t="s">
        <v>1357</v>
      </c>
      <c r="I405" s="1" t="s">
        <v>34</v>
      </c>
      <c r="J405" s="1" t="s">
        <v>35</v>
      </c>
      <c r="K405" s="6" t="s">
        <v>40</v>
      </c>
      <c r="L405" s="1"/>
    </row>
    <row r="406" spans="1:12" ht="15.75" customHeight="1">
      <c r="A406" s="1" t="s">
        <v>1358</v>
      </c>
      <c r="B406" s="2" t="s">
        <v>1328</v>
      </c>
      <c r="C406" s="2" t="s">
        <v>1322</v>
      </c>
      <c r="D406" s="2" t="s">
        <v>44</v>
      </c>
      <c r="E406" s="2" t="s">
        <v>1329</v>
      </c>
      <c r="F406" s="2" t="s">
        <v>46</v>
      </c>
      <c r="G406" s="2" t="s">
        <v>1330</v>
      </c>
      <c r="H406" s="2" t="s">
        <v>1359</v>
      </c>
      <c r="I406" s="1" t="s">
        <v>34</v>
      </c>
      <c r="J406" s="1" t="s">
        <v>35</v>
      </c>
      <c r="K406" s="6" t="s">
        <v>40</v>
      </c>
      <c r="L406" s="1"/>
    </row>
    <row r="407" spans="1:12" ht="15.75" customHeight="1">
      <c r="A407" s="1" t="s">
        <v>1360</v>
      </c>
      <c r="B407" s="2" t="s">
        <v>1361</v>
      </c>
      <c r="C407" s="2" t="s">
        <v>1362</v>
      </c>
      <c r="D407" s="2" t="s">
        <v>1363</v>
      </c>
      <c r="E407" s="2" t="s">
        <v>1364</v>
      </c>
      <c r="F407" s="2" t="s">
        <v>15</v>
      </c>
      <c r="G407" s="2" t="s">
        <v>1365</v>
      </c>
      <c r="H407" s="2" t="s">
        <v>1366</v>
      </c>
      <c r="I407" s="1" t="s">
        <v>351</v>
      </c>
      <c r="J407" s="1" t="s">
        <v>28</v>
      </c>
      <c r="K407" s="6" t="s">
        <v>40</v>
      </c>
      <c r="L407" s="1"/>
    </row>
    <row r="408" spans="1:12" ht="15.75" customHeight="1">
      <c r="A408" s="1" t="s">
        <v>1367</v>
      </c>
      <c r="B408" s="2" t="s">
        <v>1368</v>
      </c>
      <c r="C408" s="2" t="s">
        <v>1362</v>
      </c>
      <c r="D408" s="2" t="s">
        <v>1363</v>
      </c>
      <c r="E408" s="2" t="s">
        <v>1369</v>
      </c>
      <c r="F408" s="2" t="s">
        <v>15</v>
      </c>
      <c r="G408" s="2" t="s">
        <v>1370</v>
      </c>
      <c r="H408" s="2" t="s">
        <v>1371</v>
      </c>
      <c r="I408" s="1" t="s">
        <v>18</v>
      </c>
      <c r="J408" s="1" t="s">
        <v>19</v>
      </c>
      <c r="K408" s="6" t="s">
        <v>40</v>
      </c>
      <c r="L408" s="1"/>
    </row>
    <row r="409" spans="1:12" ht="15.75" customHeight="1">
      <c r="A409" s="1" t="s">
        <v>1372</v>
      </c>
      <c r="B409" s="2" t="s">
        <v>1373</v>
      </c>
      <c r="C409" s="2" t="s">
        <v>1362</v>
      </c>
      <c r="D409" s="2" t="s">
        <v>1363</v>
      </c>
      <c r="E409" s="2" t="s">
        <v>1374</v>
      </c>
      <c r="F409" s="2" t="s">
        <v>61</v>
      </c>
      <c r="G409" s="2" t="s">
        <v>1375</v>
      </c>
      <c r="H409" s="2" t="s">
        <v>1376</v>
      </c>
      <c r="I409" s="1" t="s">
        <v>351</v>
      </c>
      <c r="J409" s="1" t="s">
        <v>28</v>
      </c>
      <c r="K409" s="6" t="s">
        <v>40</v>
      </c>
      <c r="L409" s="1"/>
    </row>
    <row r="410" spans="1:12" ht="15.75" customHeight="1">
      <c r="A410" s="1" t="s">
        <v>1377</v>
      </c>
      <c r="B410" s="2" t="s">
        <v>1378</v>
      </c>
      <c r="C410" s="2" t="s">
        <v>1362</v>
      </c>
      <c r="D410" s="2" t="s">
        <v>1363</v>
      </c>
      <c r="E410" s="2" t="s">
        <v>1379</v>
      </c>
      <c r="F410" s="2" t="s">
        <v>46</v>
      </c>
      <c r="G410" s="2" t="s">
        <v>1380</v>
      </c>
      <c r="H410" s="2" t="s">
        <v>1381</v>
      </c>
      <c r="I410" s="1" t="s">
        <v>351</v>
      </c>
      <c r="J410" s="1" t="s">
        <v>28</v>
      </c>
      <c r="K410" s="6" t="s">
        <v>40</v>
      </c>
      <c r="L410" s="1"/>
    </row>
    <row r="411" spans="1:12" ht="15.75" customHeight="1">
      <c r="A411" s="1" t="s">
        <v>1382</v>
      </c>
      <c r="B411" s="2" t="s">
        <v>1383</v>
      </c>
      <c r="C411" s="2" t="s">
        <v>1362</v>
      </c>
      <c r="D411" s="2" t="s">
        <v>1363</v>
      </c>
      <c r="E411" s="2" t="s">
        <v>1384</v>
      </c>
      <c r="F411" s="2" t="s">
        <v>120</v>
      </c>
      <c r="G411" s="2" t="s">
        <v>1385</v>
      </c>
      <c r="H411" s="2" t="s">
        <v>1386</v>
      </c>
      <c r="I411" s="1" t="s">
        <v>351</v>
      </c>
      <c r="J411" s="1" t="s">
        <v>28</v>
      </c>
      <c r="K411" s="6" t="s">
        <v>40</v>
      </c>
      <c r="L411" s="1"/>
    </row>
    <row r="412" spans="1:12" ht="15.75" customHeight="1">
      <c r="A412" s="1" t="s">
        <v>1387</v>
      </c>
      <c r="B412" s="2" t="s">
        <v>1388</v>
      </c>
      <c r="C412" s="2" t="s">
        <v>1362</v>
      </c>
      <c r="D412" s="2" t="s">
        <v>1363</v>
      </c>
      <c r="E412" s="2" t="s">
        <v>1389</v>
      </c>
      <c r="F412" s="2" t="s">
        <v>120</v>
      </c>
      <c r="G412" s="2" t="s">
        <v>1390</v>
      </c>
      <c r="H412" s="2" t="s">
        <v>1391</v>
      </c>
      <c r="I412" s="1" t="s">
        <v>351</v>
      </c>
      <c r="J412" s="1" t="s">
        <v>28</v>
      </c>
      <c r="K412" s="6" t="s">
        <v>144</v>
      </c>
      <c r="L412" s="1" t="s">
        <v>1344</v>
      </c>
    </row>
    <row r="413" spans="1:12" ht="15.75" customHeight="1">
      <c r="A413" s="1" t="s">
        <v>1392</v>
      </c>
      <c r="B413" s="2" t="s">
        <v>1393</v>
      </c>
      <c r="C413" s="2" t="s">
        <v>1362</v>
      </c>
      <c r="D413" s="2" t="s">
        <v>1363</v>
      </c>
      <c r="E413" s="2" t="s">
        <v>1394</v>
      </c>
      <c r="F413" s="2" t="s">
        <v>15</v>
      </c>
      <c r="G413" s="2" t="s">
        <v>1395</v>
      </c>
      <c r="H413" s="2" t="s">
        <v>1396</v>
      </c>
      <c r="I413" s="1" t="s">
        <v>18</v>
      </c>
      <c r="J413" s="1" t="s">
        <v>19</v>
      </c>
      <c r="K413" s="6" t="s">
        <v>40</v>
      </c>
      <c r="L413" s="1"/>
    </row>
    <row r="414" spans="1:12" ht="15.75" customHeight="1">
      <c r="A414" s="1" t="s">
        <v>1397</v>
      </c>
      <c r="B414" s="2" t="s">
        <v>1398</v>
      </c>
      <c r="C414" s="2" t="s">
        <v>1362</v>
      </c>
      <c r="D414" s="2" t="s">
        <v>1363</v>
      </c>
      <c r="E414" s="2" t="s">
        <v>1399</v>
      </c>
      <c r="F414" s="2" t="s">
        <v>61</v>
      </c>
      <c r="G414" s="2" t="s">
        <v>1400</v>
      </c>
      <c r="H414" s="2" t="s">
        <v>1401</v>
      </c>
      <c r="I414" s="1" t="s">
        <v>351</v>
      </c>
      <c r="J414" s="1" t="s">
        <v>28</v>
      </c>
      <c r="K414" s="6" t="s">
        <v>40</v>
      </c>
      <c r="L414" s="1"/>
    </row>
    <row r="415" spans="1:12" ht="15.75" customHeight="1">
      <c r="A415" s="1" t="s">
        <v>1402</v>
      </c>
      <c r="B415" s="2" t="s">
        <v>1368</v>
      </c>
      <c r="C415" s="2" t="s">
        <v>1362</v>
      </c>
      <c r="D415" s="2" t="s">
        <v>1363</v>
      </c>
      <c r="E415" s="2" t="s">
        <v>1369</v>
      </c>
      <c r="F415" s="2" t="s">
        <v>15</v>
      </c>
      <c r="G415" s="2" t="s">
        <v>1370</v>
      </c>
      <c r="H415" s="2" t="s">
        <v>1403</v>
      </c>
      <c r="I415" s="1" t="s">
        <v>18</v>
      </c>
      <c r="J415" s="1" t="s">
        <v>19</v>
      </c>
      <c r="K415" s="6" t="s">
        <v>40</v>
      </c>
      <c r="L415" s="1"/>
    </row>
    <row r="416" spans="1:12" ht="15.75" customHeight="1">
      <c r="A416" s="1" t="s">
        <v>1404</v>
      </c>
      <c r="B416" s="2" t="s">
        <v>1405</v>
      </c>
      <c r="C416" s="2" t="s">
        <v>1406</v>
      </c>
      <c r="D416" s="2" t="s">
        <v>59</v>
      </c>
      <c r="E416" s="2" t="s">
        <v>1407</v>
      </c>
      <c r="F416" s="2" t="s">
        <v>97</v>
      </c>
      <c r="G416" s="2" t="s">
        <v>1408</v>
      </c>
      <c r="H416" s="2" t="s">
        <v>1409</v>
      </c>
      <c r="I416" s="1" t="s">
        <v>1410</v>
      </c>
      <c r="J416" s="1" t="s">
        <v>78</v>
      </c>
      <c r="K416" s="6" t="s">
        <v>144</v>
      </c>
      <c r="L416" s="6" t="s">
        <v>1411</v>
      </c>
    </row>
    <row r="417" spans="1:12" ht="15.75" customHeight="1">
      <c r="A417" s="1" t="s">
        <v>1412</v>
      </c>
      <c r="B417" s="2" t="s">
        <v>1413</v>
      </c>
      <c r="C417" s="2" t="s">
        <v>1406</v>
      </c>
      <c r="D417" s="2" t="s">
        <v>59</v>
      </c>
      <c r="E417" s="2" t="s">
        <v>1414</v>
      </c>
      <c r="F417" s="2" t="s">
        <v>140</v>
      </c>
      <c r="G417" s="2" t="s">
        <v>1415</v>
      </c>
      <c r="H417" s="2" t="s">
        <v>1416</v>
      </c>
      <c r="I417" s="1" t="s">
        <v>29</v>
      </c>
      <c r="J417" s="1" t="s">
        <v>35</v>
      </c>
      <c r="K417" s="6" t="s">
        <v>40</v>
      </c>
      <c r="L417" s="1"/>
    </row>
    <row r="418" spans="1:12" ht="15.75" customHeight="1">
      <c r="A418" s="1" t="s">
        <v>1417</v>
      </c>
      <c r="B418" s="2" t="s">
        <v>1418</v>
      </c>
      <c r="C418" s="2" t="s">
        <v>1406</v>
      </c>
      <c r="D418" s="2" t="s">
        <v>59</v>
      </c>
      <c r="E418" s="2" t="s">
        <v>1419</v>
      </c>
      <c r="F418" s="2" t="s">
        <v>157</v>
      </c>
      <c r="G418" s="2" t="s">
        <v>1420</v>
      </c>
      <c r="H418" s="2" t="s">
        <v>1421</v>
      </c>
      <c r="I418" s="1" t="s">
        <v>29</v>
      </c>
      <c r="J418" s="1" t="s">
        <v>35</v>
      </c>
      <c r="K418" s="6" t="s">
        <v>40</v>
      </c>
      <c r="L418" s="1"/>
    </row>
    <row r="419" spans="1:12" ht="15.75" customHeight="1">
      <c r="A419" s="1" t="s">
        <v>1422</v>
      </c>
      <c r="B419" s="2" t="s">
        <v>1423</v>
      </c>
      <c r="C419" s="2" t="s">
        <v>1406</v>
      </c>
      <c r="D419" s="2" t="s">
        <v>59</v>
      </c>
      <c r="E419" s="2" t="s">
        <v>1424</v>
      </c>
      <c r="F419" s="2" t="s">
        <v>252</v>
      </c>
      <c r="G419" s="2" t="s">
        <v>1425</v>
      </c>
      <c r="H419" s="2" t="s">
        <v>1426</v>
      </c>
      <c r="I419" s="1" t="s">
        <v>36</v>
      </c>
      <c r="J419" s="1" t="s">
        <v>28</v>
      </c>
      <c r="K419" s="6" t="s">
        <v>40</v>
      </c>
      <c r="L419" s="1"/>
    </row>
    <row r="420" spans="1:12" ht="15.75" customHeight="1">
      <c r="A420" s="1" t="s">
        <v>1427</v>
      </c>
      <c r="B420" s="2" t="s">
        <v>1428</v>
      </c>
      <c r="C420" s="2" t="s">
        <v>1406</v>
      </c>
      <c r="D420" s="2" t="s">
        <v>59</v>
      </c>
      <c r="E420" s="2" t="s">
        <v>1429</v>
      </c>
      <c r="F420" s="2" t="s">
        <v>264</v>
      </c>
      <c r="G420" s="2" t="s">
        <v>1430</v>
      </c>
      <c r="H420" s="2" t="s">
        <v>1431</v>
      </c>
      <c r="I420" s="1" t="s">
        <v>29</v>
      </c>
      <c r="J420" s="1" t="s">
        <v>35</v>
      </c>
      <c r="K420" s="6" t="s">
        <v>144</v>
      </c>
      <c r="L420" s="6" t="s">
        <v>1432</v>
      </c>
    </row>
    <row r="421" spans="1:12" ht="15.75" customHeight="1">
      <c r="A421" s="1" t="s">
        <v>1433</v>
      </c>
      <c r="B421" s="2" t="s">
        <v>1428</v>
      </c>
      <c r="C421" s="2" t="s">
        <v>1406</v>
      </c>
      <c r="D421" s="2" t="s">
        <v>59</v>
      </c>
      <c r="E421" s="2" t="s">
        <v>1429</v>
      </c>
      <c r="F421" s="2" t="s">
        <v>264</v>
      </c>
      <c r="G421" s="2" t="s">
        <v>1430</v>
      </c>
      <c r="H421" s="2" t="s">
        <v>1434</v>
      </c>
      <c r="I421" s="1" t="s">
        <v>29</v>
      </c>
      <c r="J421" s="1" t="s">
        <v>35</v>
      </c>
      <c r="K421" s="6" t="s">
        <v>144</v>
      </c>
      <c r="L421" s="6" t="s">
        <v>1432</v>
      </c>
    </row>
    <row r="422" spans="1:12" ht="15.75" customHeight="1">
      <c r="A422" s="1" t="s">
        <v>1435</v>
      </c>
      <c r="B422" s="2" t="s">
        <v>1413</v>
      </c>
      <c r="C422" s="2" t="s">
        <v>1406</v>
      </c>
      <c r="D422" s="2" t="s">
        <v>59</v>
      </c>
      <c r="E422" s="2" t="s">
        <v>1414</v>
      </c>
      <c r="F422" s="2" t="s">
        <v>140</v>
      </c>
      <c r="G422" s="2" t="s">
        <v>1415</v>
      </c>
      <c r="H422" s="2" t="s">
        <v>1436</v>
      </c>
      <c r="I422" s="1" t="s">
        <v>29</v>
      </c>
      <c r="J422" s="1" t="s">
        <v>35</v>
      </c>
      <c r="K422" s="6" t="s">
        <v>40</v>
      </c>
      <c r="L422" s="1"/>
    </row>
    <row r="423" spans="1:12" ht="15.75" customHeight="1">
      <c r="A423" s="1" t="s">
        <v>1437</v>
      </c>
      <c r="B423" s="2" t="s">
        <v>1405</v>
      </c>
      <c r="C423" s="2" t="s">
        <v>1406</v>
      </c>
      <c r="D423" s="2" t="s">
        <v>59</v>
      </c>
      <c r="E423" s="2" t="s">
        <v>1407</v>
      </c>
      <c r="F423" s="2" t="s">
        <v>97</v>
      </c>
      <c r="G423" s="2" t="s">
        <v>1408</v>
      </c>
      <c r="H423" s="2" t="s">
        <v>1438</v>
      </c>
      <c r="I423" s="1" t="s">
        <v>36</v>
      </c>
      <c r="J423" s="1" t="s">
        <v>28</v>
      </c>
      <c r="K423" s="6" t="s">
        <v>40</v>
      </c>
      <c r="L423" s="1"/>
    </row>
    <row r="424" spans="1:12" ht="15.75" customHeight="1">
      <c r="A424" s="1" t="s">
        <v>1439</v>
      </c>
      <c r="B424" s="2" t="s">
        <v>1440</v>
      </c>
      <c r="C424" s="2" t="s">
        <v>1406</v>
      </c>
      <c r="D424" s="2" t="s">
        <v>59</v>
      </c>
      <c r="E424" s="2" t="s">
        <v>1441</v>
      </c>
      <c r="F424" s="2" t="s">
        <v>294</v>
      </c>
      <c r="G424" s="2" t="s">
        <v>1442</v>
      </c>
      <c r="H424" s="2" t="s">
        <v>1443</v>
      </c>
      <c r="I424" s="1" t="s">
        <v>1444</v>
      </c>
      <c r="J424" s="1" t="s">
        <v>19</v>
      </c>
      <c r="K424" s="6" t="s">
        <v>40</v>
      </c>
      <c r="L424" s="1"/>
    </row>
    <row r="425" spans="1:12" ht="15.75" customHeight="1">
      <c r="A425" s="1" t="s">
        <v>1445</v>
      </c>
      <c r="B425" s="2" t="s">
        <v>1418</v>
      </c>
      <c r="C425" s="2" t="s">
        <v>1406</v>
      </c>
      <c r="D425" s="2" t="s">
        <v>59</v>
      </c>
      <c r="E425" s="2" t="s">
        <v>1419</v>
      </c>
      <c r="F425" s="2" t="s">
        <v>157</v>
      </c>
      <c r="G425" s="2" t="s">
        <v>1420</v>
      </c>
      <c r="H425" s="2" t="s">
        <v>1446</v>
      </c>
      <c r="I425" s="1" t="s">
        <v>29</v>
      </c>
      <c r="J425" s="1" t="s">
        <v>35</v>
      </c>
      <c r="K425" s="6" t="s">
        <v>40</v>
      </c>
      <c r="L425" s="1"/>
    </row>
    <row r="426" spans="1:12" ht="15.75" customHeight="1">
      <c r="A426" s="1" t="s">
        <v>1447</v>
      </c>
      <c r="B426" s="2" t="s">
        <v>1428</v>
      </c>
      <c r="C426" s="2" t="s">
        <v>1406</v>
      </c>
      <c r="D426" s="2" t="s">
        <v>59</v>
      </c>
      <c r="E426" s="2" t="s">
        <v>1429</v>
      </c>
      <c r="F426" s="2" t="s">
        <v>264</v>
      </c>
      <c r="G426" s="2" t="s">
        <v>1430</v>
      </c>
      <c r="H426" s="2" t="s">
        <v>1448</v>
      </c>
      <c r="I426" s="1" t="s">
        <v>29</v>
      </c>
      <c r="J426" s="1" t="s">
        <v>35</v>
      </c>
      <c r="K426" s="6" t="s">
        <v>144</v>
      </c>
      <c r="L426" s="6" t="s">
        <v>1432</v>
      </c>
    </row>
    <row r="427" spans="1:12" ht="15.75" customHeight="1">
      <c r="A427" s="1" t="s">
        <v>1449</v>
      </c>
      <c r="B427" s="2" t="s">
        <v>1418</v>
      </c>
      <c r="C427" s="2" t="s">
        <v>1406</v>
      </c>
      <c r="D427" s="2" t="s">
        <v>59</v>
      </c>
      <c r="E427" s="2" t="s">
        <v>1419</v>
      </c>
      <c r="F427" s="2" t="s">
        <v>157</v>
      </c>
      <c r="G427" s="2" t="s">
        <v>1420</v>
      </c>
      <c r="H427" s="2" t="s">
        <v>1450</v>
      </c>
      <c r="I427" s="1" t="s">
        <v>1410</v>
      </c>
      <c r="J427" s="1" t="s">
        <v>78</v>
      </c>
      <c r="K427" s="6" t="s">
        <v>40</v>
      </c>
      <c r="L427" s="1"/>
    </row>
    <row r="428" spans="1:12" ht="15.75" customHeight="1">
      <c r="A428" s="1" t="s">
        <v>1451</v>
      </c>
      <c r="B428" s="2" t="s">
        <v>1452</v>
      </c>
      <c r="C428" s="2" t="s">
        <v>1406</v>
      </c>
      <c r="D428" s="2" t="s">
        <v>59</v>
      </c>
      <c r="E428" s="2" t="s">
        <v>1453</v>
      </c>
      <c r="F428" s="2" t="s">
        <v>294</v>
      </c>
      <c r="G428" s="2" t="s">
        <v>1454</v>
      </c>
      <c r="H428" s="2" t="s">
        <v>1455</v>
      </c>
      <c r="I428" s="1" t="s">
        <v>1456</v>
      </c>
      <c r="J428" s="1" t="s">
        <v>19</v>
      </c>
      <c r="K428" s="6" t="s">
        <v>40</v>
      </c>
      <c r="L428" s="1"/>
    </row>
    <row r="429" spans="1:12" ht="15.75" customHeight="1">
      <c r="A429" s="1" t="s">
        <v>1457</v>
      </c>
      <c r="B429" s="2" t="s">
        <v>1458</v>
      </c>
      <c r="C429" s="2" t="s">
        <v>1406</v>
      </c>
      <c r="D429" s="2" t="s">
        <v>59</v>
      </c>
      <c r="E429" s="2" t="s">
        <v>1459</v>
      </c>
      <c r="F429" s="2" t="s">
        <v>61</v>
      </c>
      <c r="G429" s="2" t="s">
        <v>1460</v>
      </c>
      <c r="H429" s="2" t="s">
        <v>1461</v>
      </c>
      <c r="I429" s="1" t="s">
        <v>116</v>
      </c>
      <c r="J429" s="1" t="s">
        <v>35</v>
      </c>
      <c r="K429" s="6" t="s">
        <v>40</v>
      </c>
      <c r="L429" s="1"/>
    </row>
    <row r="430" spans="1:12" ht="15.75" customHeight="1">
      <c r="A430" s="1" t="s">
        <v>1462</v>
      </c>
      <c r="B430" s="2" t="s">
        <v>1452</v>
      </c>
      <c r="C430" s="2" t="s">
        <v>1406</v>
      </c>
      <c r="D430" s="2" t="s">
        <v>59</v>
      </c>
      <c r="E430" s="2" t="s">
        <v>1453</v>
      </c>
      <c r="F430" s="2" t="s">
        <v>294</v>
      </c>
      <c r="G430" s="2" t="s">
        <v>1454</v>
      </c>
      <c r="H430" s="2" t="s">
        <v>1463</v>
      </c>
      <c r="I430" s="1" t="s">
        <v>1464</v>
      </c>
      <c r="J430" s="1" t="s">
        <v>1465</v>
      </c>
      <c r="K430" s="6" t="s">
        <v>40</v>
      </c>
      <c r="L430" s="1"/>
    </row>
    <row r="431" spans="1:12" ht="15.75" customHeight="1">
      <c r="A431" s="1" t="s">
        <v>1466</v>
      </c>
      <c r="B431" s="2" t="s">
        <v>1418</v>
      </c>
      <c r="C431" s="2" t="s">
        <v>1406</v>
      </c>
      <c r="D431" s="2" t="s">
        <v>59</v>
      </c>
      <c r="E431" s="2" t="s">
        <v>1419</v>
      </c>
      <c r="F431" s="2" t="s">
        <v>157</v>
      </c>
      <c r="G431" s="2" t="s">
        <v>1420</v>
      </c>
      <c r="H431" s="2" t="s">
        <v>1467</v>
      </c>
      <c r="I431" s="1" t="s">
        <v>29</v>
      </c>
      <c r="J431" s="1" t="s">
        <v>35</v>
      </c>
      <c r="K431" s="6" t="s">
        <v>40</v>
      </c>
      <c r="L431" s="1"/>
    </row>
    <row r="432" spans="1:12" ht="15.75" customHeight="1">
      <c r="A432" s="1" t="s">
        <v>1468</v>
      </c>
      <c r="B432" s="2" t="s">
        <v>1413</v>
      </c>
      <c r="C432" s="2" t="s">
        <v>1406</v>
      </c>
      <c r="D432" s="2" t="s">
        <v>59</v>
      </c>
      <c r="E432" s="2" t="s">
        <v>1414</v>
      </c>
      <c r="F432" s="2" t="s">
        <v>140</v>
      </c>
      <c r="G432" s="2" t="s">
        <v>1415</v>
      </c>
      <c r="H432" s="2" t="s">
        <v>1469</v>
      </c>
      <c r="I432" s="1" t="s">
        <v>29</v>
      </c>
      <c r="J432" s="1" t="s">
        <v>35</v>
      </c>
      <c r="K432" s="6" t="s">
        <v>40</v>
      </c>
      <c r="L432" s="1"/>
    </row>
    <row r="433" spans="1:12" ht="15.75" customHeight="1">
      <c r="A433" s="1" t="s">
        <v>1470</v>
      </c>
      <c r="B433" s="2" t="s">
        <v>1413</v>
      </c>
      <c r="C433" s="2" t="s">
        <v>1406</v>
      </c>
      <c r="D433" s="2" t="s">
        <v>59</v>
      </c>
      <c r="E433" s="2" t="s">
        <v>1414</v>
      </c>
      <c r="F433" s="2" t="s">
        <v>140</v>
      </c>
      <c r="G433" s="2" t="s">
        <v>1415</v>
      </c>
      <c r="H433" s="2" t="s">
        <v>1471</v>
      </c>
      <c r="I433" s="1" t="s">
        <v>29</v>
      </c>
      <c r="J433" s="1" t="s">
        <v>35</v>
      </c>
      <c r="K433" s="6" t="s">
        <v>40</v>
      </c>
      <c r="L433" s="1"/>
    </row>
    <row r="434" spans="1:12" ht="15.75" customHeight="1">
      <c r="A434" s="1" t="s">
        <v>1472</v>
      </c>
      <c r="B434" s="2" t="s">
        <v>1473</v>
      </c>
      <c r="C434" s="2" t="s">
        <v>1406</v>
      </c>
      <c r="D434" s="2" t="s">
        <v>59</v>
      </c>
      <c r="E434" s="2" t="s">
        <v>1474</v>
      </c>
      <c r="F434" s="2" t="s">
        <v>157</v>
      </c>
      <c r="G434" s="2" t="s">
        <v>1475</v>
      </c>
      <c r="H434" s="2" t="s">
        <v>1476</v>
      </c>
      <c r="I434" s="1" t="s">
        <v>1410</v>
      </c>
      <c r="J434" s="1" t="s">
        <v>78</v>
      </c>
      <c r="K434" s="6" t="s">
        <v>40</v>
      </c>
      <c r="L434" s="1"/>
    </row>
    <row r="435" spans="1:12" ht="15.75" customHeight="1">
      <c r="A435" s="1" t="s">
        <v>1477</v>
      </c>
      <c r="B435" s="2" t="s">
        <v>1452</v>
      </c>
      <c r="C435" s="2" t="s">
        <v>1406</v>
      </c>
      <c r="D435" s="2" t="s">
        <v>59</v>
      </c>
      <c r="E435" s="2" t="s">
        <v>1453</v>
      </c>
      <c r="F435" s="2" t="s">
        <v>294</v>
      </c>
      <c r="G435" s="2" t="s">
        <v>1454</v>
      </c>
      <c r="H435" s="2" t="s">
        <v>1478</v>
      </c>
      <c r="I435" s="1" t="s">
        <v>1410</v>
      </c>
      <c r="J435" s="1" t="s">
        <v>78</v>
      </c>
      <c r="K435" s="6" t="s">
        <v>40</v>
      </c>
      <c r="L435" s="1"/>
    </row>
    <row r="436" spans="1:12" ht="15.75" customHeight="1">
      <c r="A436" s="1" t="s">
        <v>1479</v>
      </c>
      <c r="B436" s="2" t="s">
        <v>1440</v>
      </c>
      <c r="C436" s="2" t="s">
        <v>1406</v>
      </c>
      <c r="D436" s="2" t="s">
        <v>59</v>
      </c>
      <c r="E436" s="2" t="s">
        <v>1441</v>
      </c>
      <c r="F436" s="2" t="s">
        <v>294</v>
      </c>
      <c r="G436" s="2" t="s">
        <v>1442</v>
      </c>
      <c r="H436" s="2" t="s">
        <v>1480</v>
      </c>
      <c r="I436" s="1" t="s">
        <v>1444</v>
      </c>
      <c r="J436" s="1" t="s">
        <v>19</v>
      </c>
      <c r="K436" s="6" t="s">
        <v>40</v>
      </c>
      <c r="L436" s="1"/>
    </row>
    <row r="437" spans="1:12" ht="15.75" customHeight="1">
      <c r="A437" s="1" t="s">
        <v>1481</v>
      </c>
      <c r="B437" s="2" t="s">
        <v>1482</v>
      </c>
      <c r="C437" s="2" t="s">
        <v>1406</v>
      </c>
      <c r="D437" s="2" t="s">
        <v>59</v>
      </c>
      <c r="E437" s="2" t="s">
        <v>1483</v>
      </c>
      <c r="F437" s="2" t="s">
        <v>330</v>
      </c>
      <c r="G437" s="2" t="s">
        <v>1484</v>
      </c>
      <c r="H437" s="2" t="s">
        <v>1485</v>
      </c>
      <c r="I437" s="1" t="s">
        <v>36</v>
      </c>
      <c r="J437" s="1" t="s">
        <v>28</v>
      </c>
      <c r="K437" s="6" t="s">
        <v>40</v>
      </c>
      <c r="L437" s="1"/>
    </row>
    <row r="438" spans="1:12" ht="15.75" customHeight="1">
      <c r="A438" s="1" t="s">
        <v>1486</v>
      </c>
      <c r="B438" s="2" t="s">
        <v>1487</v>
      </c>
      <c r="C438" s="2" t="s">
        <v>1488</v>
      </c>
      <c r="D438" s="2" t="s">
        <v>1069</v>
      </c>
      <c r="E438" s="2" t="s">
        <v>1489</v>
      </c>
      <c r="F438" s="2" t="s">
        <v>264</v>
      </c>
      <c r="G438" s="2" t="s">
        <v>1490</v>
      </c>
      <c r="H438" s="2" t="s">
        <v>1491</v>
      </c>
      <c r="I438" s="1" t="s">
        <v>34</v>
      </c>
      <c r="J438" s="1" t="s">
        <v>35</v>
      </c>
      <c r="K438" s="6" t="s">
        <v>40</v>
      </c>
      <c r="L438" s="1"/>
    </row>
    <row r="439" spans="1:12" ht="15.75" customHeight="1">
      <c r="A439" s="1" t="s">
        <v>1492</v>
      </c>
      <c r="B439" s="2" t="s">
        <v>1487</v>
      </c>
      <c r="C439" s="2" t="s">
        <v>1488</v>
      </c>
      <c r="D439" s="2" t="s">
        <v>1069</v>
      </c>
      <c r="E439" s="2" t="s">
        <v>1489</v>
      </c>
      <c r="F439" s="2" t="s">
        <v>264</v>
      </c>
      <c r="G439" s="2" t="s">
        <v>1490</v>
      </c>
      <c r="H439" s="2" t="s">
        <v>1493</v>
      </c>
      <c r="I439" s="1" t="s">
        <v>34</v>
      </c>
      <c r="J439" s="1" t="s">
        <v>35</v>
      </c>
      <c r="K439" s="6" t="s">
        <v>40</v>
      </c>
      <c r="L439" s="1"/>
    </row>
    <row r="440" spans="1:12" ht="15.75" customHeight="1">
      <c r="A440" s="1" t="s">
        <v>1494</v>
      </c>
      <c r="B440" s="2" t="s">
        <v>1487</v>
      </c>
      <c r="C440" s="2" t="s">
        <v>1488</v>
      </c>
      <c r="D440" s="2" t="s">
        <v>1069</v>
      </c>
      <c r="E440" s="2" t="s">
        <v>1489</v>
      </c>
      <c r="F440" s="2" t="s">
        <v>264</v>
      </c>
      <c r="G440" s="2" t="s">
        <v>1490</v>
      </c>
      <c r="H440" s="2" t="s">
        <v>1495</v>
      </c>
      <c r="I440" s="1" t="s">
        <v>34</v>
      </c>
      <c r="J440" s="1" t="s">
        <v>35</v>
      </c>
      <c r="K440" s="6" t="s">
        <v>40</v>
      </c>
      <c r="L440" s="1"/>
    </row>
    <row r="441" spans="1:12" ht="15.75" customHeight="1">
      <c r="A441" s="1" t="s">
        <v>1496</v>
      </c>
      <c r="B441" s="2" t="s">
        <v>1497</v>
      </c>
      <c r="C441" s="2" t="s">
        <v>1488</v>
      </c>
      <c r="D441" s="2" t="s">
        <v>1069</v>
      </c>
      <c r="E441" s="2" t="s">
        <v>1498</v>
      </c>
      <c r="F441" s="2" t="s">
        <v>24</v>
      </c>
      <c r="G441" s="2" t="s">
        <v>1499</v>
      </c>
      <c r="H441" s="2" t="s">
        <v>1500</v>
      </c>
      <c r="I441" s="1" t="s">
        <v>116</v>
      </c>
      <c r="J441" s="1" t="s">
        <v>35</v>
      </c>
      <c r="K441" s="6" t="s">
        <v>40</v>
      </c>
      <c r="L441" s="1"/>
    </row>
    <row r="442" spans="1:12" ht="15.75" customHeight="1">
      <c r="A442" s="1" t="s">
        <v>1501</v>
      </c>
      <c r="B442" s="2" t="s">
        <v>1497</v>
      </c>
      <c r="C442" s="2" t="s">
        <v>1488</v>
      </c>
      <c r="D442" s="2" t="s">
        <v>1069</v>
      </c>
      <c r="E442" s="2" t="s">
        <v>1498</v>
      </c>
      <c r="F442" s="2" t="s">
        <v>24</v>
      </c>
      <c r="G442" s="2" t="s">
        <v>1499</v>
      </c>
      <c r="H442" s="2" t="s">
        <v>1502</v>
      </c>
      <c r="I442" s="1" t="s">
        <v>1432</v>
      </c>
      <c r="J442" s="1" t="s">
        <v>28</v>
      </c>
      <c r="K442" s="6" t="s">
        <v>40</v>
      </c>
      <c r="L442" s="1"/>
    </row>
    <row r="443" spans="1:12" ht="15.75" customHeight="1">
      <c r="A443" s="1" t="s">
        <v>1503</v>
      </c>
      <c r="B443" s="2" t="s">
        <v>1497</v>
      </c>
      <c r="C443" s="2" t="s">
        <v>1488</v>
      </c>
      <c r="D443" s="2" t="s">
        <v>1069</v>
      </c>
      <c r="E443" s="2" t="s">
        <v>1498</v>
      </c>
      <c r="F443" s="2" t="s">
        <v>24</v>
      </c>
      <c r="G443" s="2" t="s">
        <v>1499</v>
      </c>
      <c r="H443" s="2" t="s">
        <v>1504</v>
      </c>
      <c r="I443" s="1" t="s">
        <v>143</v>
      </c>
      <c r="J443" s="1" t="s">
        <v>28</v>
      </c>
      <c r="K443" s="6" t="s">
        <v>40</v>
      </c>
      <c r="L443" s="1"/>
    </row>
    <row r="444" spans="1:12" ht="15.75" customHeight="1">
      <c r="A444" s="1" t="s">
        <v>1505</v>
      </c>
      <c r="B444" s="2" t="s">
        <v>1506</v>
      </c>
      <c r="C444" s="2" t="s">
        <v>1507</v>
      </c>
      <c r="D444" s="2" t="s">
        <v>1204</v>
      </c>
      <c r="E444" s="2" t="s">
        <v>1508</v>
      </c>
      <c r="F444" s="2" t="s">
        <v>126</v>
      </c>
      <c r="G444" s="2" t="s">
        <v>1509</v>
      </c>
      <c r="H444" s="2" t="s">
        <v>1510</v>
      </c>
      <c r="I444" s="1" t="s">
        <v>1297</v>
      </c>
      <c r="J444" s="1" t="s">
        <v>50</v>
      </c>
      <c r="K444" s="6" t="s">
        <v>40</v>
      </c>
      <c r="L444" s="1"/>
    </row>
    <row r="445" spans="1:12" ht="15.75" customHeight="1">
      <c r="A445" s="1" t="s">
        <v>1511</v>
      </c>
      <c r="B445" s="2" t="s">
        <v>1506</v>
      </c>
      <c r="C445" s="2" t="s">
        <v>1507</v>
      </c>
      <c r="D445" s="2" t="s">
        <v>1204</v>
      </c>
      <c r="E445" s="2" t="s">
        <v>1508</v>
      </c>
      <c r="F445" s="2" t="s">
        <v>126</v>
      </c>
      <c r="G445" s="2" t="s">
        <v>1509</v>
      </c>
      <c r="H445" s="2" t="s">
        <v>1512</v>
      </c>
      <c r="I445" s="1" t="s">
        <v>1297</v>
      </c>
      <c r="J445" s="1" t="s">
        <v>50</v>
      </c>
      <c r="K445" s="6" t="s">
        <v>40</v>
      </c>
      <c r="L445" s="1"/>
    </row>
    <row r="446" spans="1:12" ht="15.75" customHeight="1">
      <c r="A446" s="1" t="s">
        <v>1513</v>
      </c>
      <c r="B446" s="2" t="s">
        <v>1506</v>
      </c>
      <c r="C446" s="2" t="s">
        <v>1507</v>
      </c>
      <c r="D446" s="2" t="s">
        <v>1204</v>
      </c>
      <c r="E446" s="2" t="s">
        <v>1508</v>
      </c>
      <c r="F446" s="2" t="s">
        <v>126</v>
      </c>
      <c r="G446" s="2" t="s">
        <v>1509</v>
      </c>
      <c r="H446" s="2" t="s">
        <v>1514</v>
      </c>
      <c r="I446" s="1" t="s">
        <v>1515</v>
      </c>
      <c r="J446" s="1" t="s">
        <v>78</v>
      </c>
      <c r="K446" s="6" t="s">
        <v>40</v>
      </c>
      <c r="L446" s="1"/>
    </row>
    <row r="447" spans="1:12" ht="15.75" customHeight="1">
      <c r="A447" s="1" t="s">
        <v>1516</v>
      </c>
      <c r="B447" s="2" t="s">
        <v>1506</v>
      </c>
      <c r="C447" s="2" t="s">
        <v>1507</v>
      </c>
      <c r="D447" s="2" t="s">
        <v>1204</v>
      </c>
      <c r="E447" s="2" t="s">
        <v>1508</v>
      </c>
      <c r="F447" s="2" t="s">
        <v>126</v>
      </c>
      <c r="G447" s="2" t="s">
        <v>1509</v>
      </c>
      <c r="H447" s="2" t="s">
        <v>1517</v>
      </c>
      <c r="I447" s="1" t="s">
        <v>1297</v>
      </c>
      <c r="J447" s="1" t="s">
        <v>50</v>
      </c>
      <c r="K447" s="6" t="s">
        <v>40</v>
      </c>
      <c r="L447" s="1"/>
    </row>
    <row r="448" spans="1:12" ht="15.75" customHeight="1">
      <c r="A448" s="1" t="s">
        <v>1518</v>
      </c>
      <c r="B448" s="2" t="s">
        <v>1506</v>
      </c>
      <c r="C448" s="2" t="s">
        <v>1507</v>
      </c>
      <c r="D448" s="2" t="s">
        <v>1204</v>
      </c>
      <c r="E448" s="2" t="s">
        <v>1508</v>
      </c>
      <c r="F448" s="2" t="s">
        <v>126</v>
      </c>
      <c r="G448" s="2" t="s">
        <v>1509</v>
      </c>
      <c r="H448" s="2" t="s">
        <v>1519</v>
      </c>
      <c r="I448" s="1" t="s">
        <v>1520</v>
      </c>
      <c r="J448" s="1" t="s">
        <v>28</v>
      </c>
      <c r="K448" s="6" t="s">
        <v>40</v>
      </c>
      <c r="L448" s="1"/>
    </row>
    <row r="449" spans="1:12" ht="15.75" customHeight="1">
      <c r="A449" s="1" t="s">
        <v>1521</v>
      </c>
      <c r="B449" s="2" t="s">
        <v>1522</v>
      </c>
      <c r="C449" s="2" t="s">
        <v>1507</v>
      </c>
      <c r="D449" s="2" t="s">
        <v>1204</v>
      </c>
      <c r="E449" s="2" t="s">
        <v>1523</v>
      </c>
      <c r="F449" s="2" t="s">
        <v>120</v>
      </c>
      <c r="G449" s="2" t="s">
        <v>1524</v>
      </c>
      <c r="H449" s="2" t="s">
        <v>1525</v>
      </c>
      <c r="I449" s="1" t="s">
        <v>1526</v>
      </c>
      <c r="J449" s="1" t="s">
        <v>35</v>
      </c>
      <c r="K449" s="6" t="s">
        <v>40</v>
      </c>
      <c r="L449" s="1"/>
    </row>
    <row r="450" spans="1:12" ht="15.75" customHeight="1">
      <c r="A450" s="1" t="s">
        <v>1527</v>
      </c>
      <c r="B450" s="2" t="s">
        <v>1506</v>
      </c>
      <c r="C450" s="2" t="s">
        <v>1507</v>
      </c>
      <c r="D450" s="2" t="s">
        <v>1204</v>
      </c>
      <c r="E450" s="2" t="s">
        <v>1508</v>
      </c>
      <c r="F450" s="2" t="s">
        <v>126</v>
      </c>
      <c r="G450" s="2" t="s">
        <v>1509</v>
      </c>
      <c r="H450" s="2" t="s">
        <v>1528</v>
      </c>
      <c r="I450" s="1" t="s">
        <v>1529</v>
      </c>
      <c r="J450" s="1" t="s">
        <v>78</v>
      </c>
      <c r="K450" s="6" t="s">
        <v>40</v>
      </c>
      <c r="L450" s="1"/>
    </row>
    <row r="451" spans="1:12" ht="15.75" customHeight="1">
      <c r="A451" s="1" t="s">
        <v>1530</v>
      </c>
      <c r="B451" s="2" t="s">
        <v>1522</v>
      </c>
      <c r="C451" s="2" t="s">
        <v>1507</v>
      </c>
      <c r="D451" s="2" t="s">
        <v>1204</v>
      </c>
      <c r="E451" s="2" t="s">
        <v>1523</v>
      </c>
      <c r="F451" s="2" t="s">
        <v>120</v>
      </c>
      <c r="G451" s="2" t="s">
        <v>1524</v>
      </c>
      <c r="H451" s="2" t="s">
        <v>1531</v>
      </c>
      <c r="I451" s="1" t="s">
        <v>1532</v>
      </c>
      <c r="J451" s="1" t="s">
        <v>78</v>
      </c>
      <c r="K451" s="6" t="s">
        <v>40</v>
      </c>
      <c r="L451" s="1"/>
    </row>
    <row r="452" spans="1:12" ht="15.75" customHeight="1">
      <c r="A452" s="1" t="s">
        <v>1533</v>
      </c>
      <c r="B452" s="2" t="s">
        <v>1506</v>
      </c>
      <c r="C452" s="2" t="s">
        <v>1507</v>
      </c>
      <c r="D452" s="2" t="s">
        <v>1204</v>
      </c>
      <c r="E452" s="2" t="s">
        <v>1508</v>
      </c>
      <c r="F452" s="2" t="s">
        <v>126</v>
      </c>
      <c r="G452" s="2" t="s">
        <v>1509</v>
      </c>
      <c r="H452" s="2" t="s">
        <v>1534</v>
      </c>
      <c r="I452" s="1" t="s">
        <v>1529</v>
      </c>
      <c r="J452" s="1" t="s">
        <v>78</v>
      </c>
      <c r="K452" s="6" t="s">
        <v>40</v>
      </c>
      <c r="L452" s="1"/>
    </row>
    <row r="453" spans="1:12" ht="15.75" customHeight="1">
      <c r="A453" s="1" t="s">
        <v>1535</v>
      </c>
      <c r="B453" s="2" t="s">
        <v>1506</v>
      </c>
      <c r="C453" s="2" t="s">
        <v>1507</v>
      </c>
      <c r="D453" s="2" t="s">
        <v>1204</v>
      </c>
      <c r="E453" s="2" t="s">
        <v>1508</v>
      </c>
      <c r="F453" s="2" t="s">
        <v>126</v>
      </c>
      <c r="G453" s="2" t="s">
        <v>1509</v>
      </c>
      <c r="H453" s="2" t="s">
        <v>1536</v>
      </c>
      <c r="I453" s="1" t="s">
        <v>1537</v>
      </c>
      <c r="J453" s="1" t="s">
        <v>19</v>
      </c>
      <c r="K453" s="6" t="s">
        <v>40</v>
      </c>
      <c r="L453" s="1"/>
    </row>
    <row r="454" spans="1:12" ht="15.75" customHeight="1">
      <c r="A454" s="1" t="s">
        <v>1538</v>
      </c>
      <c r="B454" s="2" t="s">
        <v>1506</v>
      </c>
      <c r="C454" s="2" t="s">
        <v>1507</v>
      </c>
      <c r="D454" s="2" t="s">
        <v>1204</v>
      </c>
      <c r="E454" s="2" t="s">
        <v>1508</v>
      </c>
      <c r="F454" s="2" t="s">
        <v>126</v>
      </c>
      <c r="G454" s="2" t="s">
        <v>1509</v>
      </c>
      <c r="H454" s="2" t="s">
        <v>1539</v>
      </c>
      <c r="I454" s="1" t="s">
        <v>1297</v>
      </c>
      <c r="J454" s="1" t="s">
        <v>50</v>
      </c>
      <c r="K454" s="6" t="s">
        <v>40</v>
      </c>
      <c r="L454" s="1"/>
    </row>
    <row r="455" spans="1:12" ht="15.75" customHeight="1">
      <c r="A455" s="1" t="s">
        <v>1540</v>
      </c>
      <c r="B455" s="2" t="s">
        <v>1541</v>
      </c>
      <c r="C455" s="2" t="s">
        <v>1542</v>
      </c>
      <c r="D455" s="2" t="s">
        <v>342</v>
      </c>
      <c r="E455" s="2" t="s">
        <v>1543</v>
      </c>
      <c r="F455" s="2" t="s">
        <v>180</v>
      </c>
      <c r="G455" s="2" t="s">
        <v>1544</v>
      </c>
      <c r="H455" s="2" t="s">
        <v>1545</v>
      </c>
      <c r="I455" s="1" t="s">
        <v>160</v>
      </c>
      <c r="J455" s="1" t="s">
        <v>78</v>
      </c>
      <c r="K455" s="6" t="s">
        <v>40</v>
      </c>
      <c r="L455" s="1"/>
    </row>
    <row r="456" spans="1:12" ht="15.75" customHeight="1">
      <c r="A456" s="1" t="s">
        <v>1546</v>
      </c>
      <c r="B456" s="2" t="s">
        <v>1547</v>
      </c>
      <c r="C456" s="2" t="s">
        <v>1542</v>
      </c>
      <c r="D456" s="2" t="s">
        <v>342</v>
      </c>
      <c r="E456" s="2" t="s">
        <v>1548</v>
      </c>
      <c r="F456" s="2" t="s">
        <v>46</v>
      </c>
      <c r="G456" s="2" t="s">
        <v>1549</v>
      </c>
      <c r="H456" s="2" t="s">
        <v>1550</v>
      </c>
      <c r="I456" s="1" t="s">
        <v>1297</v>
      </c>
      <c r="J456" s="1" t="s">
        <v>50</v>
      </c>
      <c r="K456" s="6" t="s">
        <v>40</v>
      </c>
      <c r="L456" s="1"/>
    </row>
    <row r="457" spans="1:12" ht="15.75" customHeight="1">
      <c r="A457" s="1" t="s">
        <v>1551</v>
      </c>
      <c r="B457" s="2" t="s">
        <v>1552</v>
      </c>
      <c r="C457" s="2" t="s">
        <v>1542</v>
      </c>
      <c r="D457" s="2" t="s">
        <v>342</v>
      </c>
      <c r="E457" s="2" t="s">
        <v>1553</v>
      </c>
      <c r="F457" s="2" t="s">
        <v>46</v>
      </c>
      <c r="G457" s="2" t="s">
        <v>1554</v>
      </c>
      <c r="H457" s="2" t="s">
        <v>1555</v>
      </c>
      <c r="I457" s="1" t="s">
        <v>34</v>
      </c>
      <c r="J457" s="1" t="s">
        <v>35</v>
      </c>
      <c r="K457" s="6" t="s">
        <v>40</v>
      </c>
      <c r="L457" s="1"/>
    </row>
    <row r="458" spans="1:12" ht="15.75" customHeight="1">
      <c r="A458" s="1" t="s">
        <v>1556</v>
      </c>
      <c r="B458" s="2" t="s">
        <v>1557</v>
      </c>
      <c r="C458" s="2" t="s">
        <v>1542</v>
      </c>
      <c r="D458" s="2" t="s">
        <v>342</v>
      </c>
      <c r="E458" s="2" t="s">
        <v>1558</v>
      </c>
      <c r="F458" s="2" t="s">
        <v>24</v>
      </c>
      <c r="G458" s="2" t="s">
        <v>1559</v>
      </c>
      <c r="H458" s="2" t="s">
        <v>1560</v>
      </c>
      <c r="I458" s="1" t="s">
        <v>351</v>
      </c>
      <c r="J458" s="1" t="s">
        <v>28</v>
      </c>
      <c r="K458" s="6" t="s">
        <v>40</v>
      </c>
      <c r="L458" s="1"/>
    </row>
    <row r="459" spans="1:12" ht="15.75" customHeight="1">
      <c r="A459" s="1" t="s">
        <v>1561</v>
      </c>
      <c r="B459" s="2" t="s">
        <v>1547</v>
      </c>
      <c r="C459" s="2" t="s">
        <v>1542</v>
      </c>
      <c r="D459" s="2" t="s">
        <v>342</v>
      </c>
      <c r="E459" s="2" t="s">
        <v>1548</v>
      </c>
      <c r="F459" s="2" t="s">
        <v>46</v>
      </c>
      <c r="G459" s="8" t="s">
        <v>1549</v>
      </c>
      <c r="H459" s="2" t="s">
        <v>1562</v>
      </c>
      <c r="I459" s="1" t="s">
        <v>1297</v>
      </c>
      <c r="J459" s="1" t="s">
        <v>50</v>
      </c>
      <c r="K459" s="6" t="s">
        <v>40</v>
      </c>
      <c r="L459" s="1"/>
    </row>
    <row r="460" spans="1:12" ht="15.75" customHeight="1">
      <c r="A460" s="1" t="s">
        <v>1563</v>
      </c>
      <c r="B460" s="2" t="s">
        <v>1547</v>
      </c>
      <c r="C460" s="2" t="s">
        <v>1542</v>
      </c>
      <c r="D460" s="2" t="s">
        <v>342</v>
      </c>
      <c r="E460" s="2" t="s">
        <v>1548</v>
      </c>
      <c r="F460" s="2" t="s">
        <v>46</v>
      </c>
      <c r="G460" s="8" t="s">
        <v>1549</v>
      </c>
      <c r="H460" s="4" t="s">
        <v>1564</v>
      </c>
      <c r="I460" s="1" t="s">
        <v>1297</v>
      </c>
      <c r="J460" s="1" t="s">
        <v>50</v>
      </c>
      <c r="K460" s="6" t="s">
        <v>40</v>
      </c>
      <c r="L460" s="6"/>
    </row>
    <row r="461" spans="1:12" ht="15.75" customHeight="1">
      <c r="A461" s="1" t="s">
        <v>1565</v>
      </c>
      <c r="B461" s="2" t="s">
        <v>1547</v>
      </c>
      <c r="C461" s="2" t="s">
        <v>1542</v>
      </c>
      <c r="D461" s="2" t="s">
        <v>342</v>
      </c>
      <c r="E461" s="2" t="s">
        <v>1548</v>
      </c>
      <c r="F461" s="2" t="s">
        <v>46</v>
      </c>
      <c r="G461" s="8" t="s">
        <v>1549</v>
      </c>
      <c r="H461" s="2" t="s">
        <v>1566</v>
      </c>
      <c r="I461" s="1" t="s">
        <v>1297</v>
      </c>
      <c r="J461" s="1" t="s">
        <v>50</v>
      </c>
      <c r="K461" s="6" t="s">
        <v>40</v>
      </c>
      <c r="L461" s="6"/>
    </row>
    <row r="462" spans="1:12" ht="15.75" customHeight="1">
      <c r="A462" s="1" t="s">
        <v>1567</v>
      </c>
      <c r="B462" s="2" t="s">
        <v>1568</v>
      </c>
      <c r="C462" s="2" t="s">
        <v>1542</v>
      </c>
      <c r="D462" s="2" t="s">
        <v>342</v>
      </c>
      <c r="E462" s="2" t="s">
        <v>1569</v>
      </c>
      <c r="F462" s="2" t="s">
        <v>15</v>
      </c>
      <c r="G462" s="8" t="s">
        <v>1570</v>
      </c>
      <c r="H462" s="2" t="s">
        <v>1571</v>
      </c>
      <c r="I462" s="1" t="s">
        <v>34</v>
      </c>
      <c r="J462" s="1" t="s">
        <v>35</v>
      </c>
      <c r="K462" s="6" t="s">
        <v>40</v>
      </c>
      <c r="L462" s="1"/>
    </row>
    <row r="463" spans="1:12" ht="15.75" customHeight="1">
      <c r="A463" s="1" t="s">
        <v>1572</v>
      </c>
      <c r="B463" s="2" t="s">
        <v>1552</v>
      </c>
      <c r="C463" s="2" t="s">
        <v>1542</v>
      </c>
      <c r="D463" s="2" t="s">
        <v>342</v>
      </c>
      <c r="E463" s="2" t="s">
        <v>1553</v>
      </c>
      <c r="F463" s="2" t="s">
        <v>46</v>
      </c>
      <c r="G463" s="8" t="s">
        <v>1554</v>
      </c>
      <c r="H463" s="2" t="s">
        <v>1573</v>
      </c>
      <c r="I463" s="1" t="s">
        <v>18</v>
      </c>
      <c r="J463" s="1" t="s">
        <v>19</v>
      </c>
      <c r="K463" s="6" t="s">
        <v>40</v>
      </c>
      <c r="L463" s="1"/>
    </row>
    <row r="464" spans="1:12" ht="15.75" customHeight="1">
      <c r="A464" s="1" t="s">
        <v>1574</v>
      </c>
      <c r="B464" s="2" t="s">
        <v>1541</v>
      </c>
      <c r="C464" s="2" t="s">
        <v>1542</v>
      </c>
      <c r="D464" s="2" t="s">
        <v>342</v>
      </c>
      <c r="E464" s="2" t="s">
        <v>1543</v>
      </c>
      <c r="F464" s="2" t="s">
        <v>180</v>
      </c>
      <c r="G464" s="8" t="s">
        <v>1544</v>
      </c>
      <c r="H464" s="2" t="s">
        <v>1575</v>
      </c>
      <c r="I464" s="1" t="s">
        <v>34</v>
      </c>
      <c r="J464" s="1" t="s">
        <v>35</v>
      </c>
      <c r="K464" s="6" t="s">
        <v>40</v>
      </c>
      <c r="L464" s="1"/>
    </row>
    <row r="465" spans="1:12" ht="15.75" customHeight="1">
      <c r="A465" s="1" t="s">
        <v>1576</v>
      </c>
      <c r="B465" s="2" t="s">
        <v>1577</v>
      </c>
      <c r="C465" s="2" t="s">
        <v>1542</v>
      </c>
      <c r="D465" s="2" t="s">
        <v>342</v>
      </c>
      <c r="E465" s="2" t="s">
        <v>1578</v>
      </c>
      <c r="F465" s="2" t="s">
        <v>120</v>
      </c>
      <c r="G465" s="8" t="s">
        <v>1579</v>
      </c>
      <c r="H465" s="2" t="s">
        <v>1580</v>
      </c>
      <c r="I465" s="1" t="s">
        <v>160</v>
      </c>
      <c r="J465" s="1" t="s">
        <v>78</v>
      </c>
      <c r="K465" s="6" t="s">
        <v>40</v>
      </c>
      <c r="L465" s="1"/>
    </row>
    <row r="466" spans="1:12" ht="15.75" customHeight="1">
      <c r="A466" s="1" t="s">
        <v>1581</v>
      </c>
      <c r="B466" s="2" t="s">
        <v>1582</v>
      </c>
      <c r="C466" s="2" t="s">
        <v>1542</v>
      </c>
      <c r="D466" s="2" t="s">
        <v>342</v>
      </c>
      <c r="E466" s="2" t="s">
        <v>1583</v>
      </c>
      <c r="F466" s="2" t="s">
        <v>126</v>
      </c>
      <c r="G466" s="8" t="s">
        <v>1584</v>
      </c>
      <c r="H466" s="2" t="s">
        <v>1585</v>
      </c>
      <c r="I466" s="1" t="s">
        <v>34</v>
      </c>
      <c r="J466" s="1" t="s">
        <v>35</v>
      </c>
      <c r="K466" s="6" t="s">
        <v>40</v>
      </c>
      <c r="L466" s="1"/>
    </row>
    <row r="467" spans="1:12" ht="15.75" customHeight="1">
      <c r="A467" s="1" t="s">
        <v>1586</v>
      </c>
      <c r="B467" s="2" t="s">
        <v>1587</v>
      </c>
      <c r="C467" s="2" t="s">
        <v>1542</v>
      </c>
      <c r="D467" s="2" t="s">
        <v>342</v>
      </c>
      <c r="E467" s="2" t="s">
        <v>1588</v>
      </c>
      <c r="F467" s="2" t="s">
        <v>126</v>
      </c>
      <c r="G467" s="8" t="s">
        <v>1589</v>
      </c>
      <c r="H467" s="2" t="s">
        <v>1590</v>
      </c>
      <c r="I467" s="1" t="s">
        <v>27</v>
      </c>
      <c r="J467" s="1" t="s">
        <v>28</v>
      </c>
      <c r="K467" s="6" t="s">
        <v>40</v>
      </c>
      <c r="L467" s="1"/>
    </row>
    <row r="468" spans="1:12" ht="15.75" customHeight="1">
      <c r="A468" s="1" t="s">
        <v>1591</v>
      </c>
      <c r="B468" s="2" t="s">
        <v>1547</v>
      </c>
      <c r="C468" s="2" t="s">
        <v>1542</v>
      </c>
      <c r="D468" s="2" t="s">
        <v>342</v>
      </c>
      <c r="E468" s="2" t="s">
        <v>1548</v>
      </c>
      <c r="F468" s="2" t="s">
        <v>46</v>
      </c>
      <c r="G468" s="8" t="s">
        <v>1549</v>
      </c>
      <c r="H468" s="2" t="s">
        <v>1592</v>
      </c>
      <c r="I468" s="1" t="s">
        <v>1297</v>
      </c>
      <c r="J468" s="1" t="s">
        <v>50</v>
      </c>
      <c r="K468" s="6" t="s">
        <v>40</v>
      </c>
      <c r="L468" s="1"/>
    </row>
    <row r="469" spans="1:12" ht="15.75" customHeight="1">
      <c r="A469" s="1" t="s">
        <v>1593</v>
      </c>
      <c r="B469" s="2" t="s">
        <v>1557</v>
      </c>
      <c r="C469" s="2" t="s">
        <v>1542</v>
      </c>
      <c r="D469" s="2" t="s">
        <v>342</v>
      </c>
      <c r="E469" s="2" t="s">
        <v>1558</v>
      </c>
      <c r="F469" s="2" t="s">
        <v>24</v>
      </c>
      <c r="G469" s="8" t="s">
        <v>1559</v>
      </c>
      <c r="H469" s="2" t="s">
        <v>1594</v>
      </c>
      <c r="I469" s="1" t="s">
        <v>351</v>
      </c>
      <c r="J469" s="1" t="s">
        <v>28</v>
      </c>
      <c r="K469" s="6" t="s">
        <v>40</v>
      </c>
      <c r="L469" s="1"/>
    </row>
    <row r="470" spans="1:12" ht="15.75" customHeight="1">
      <c r="A470" s="1" t="s">
        <v>1595</v>
      </c>
      <c r="B470" s="2" t="s">
        <v>1557</v>
      </c>
      <c r="C470" s="2" t="s">
        <v>1542</v>
      </c>
      <c r="D470" s="2" t="s">
        <v>342</v>
      </c>
      <c r="E470" s="2" t="s">
        <v>1558</v>
      </c>
      <c r="F470" s="2" t="s">
        <v>24</v>
      </c>
      <c r="G470" s="8" t="s">
        <v>1559</v>
      </c>
      <c r="H470" s="2" t="s">
        <v>1596</v>
      </c>
      <c r="I470" s="1" t="s">
        <v>18</v>
      </c>
      <c r="J470" s="1" t="s">
        <v>19</v>
      </c>
      <c r="K470" s="6" t="s">
        <v>40</v>
      </c>
      <c r="L470" s="1"/>
    </row>
    <row r="471" spans="1:12" ht="15.75" customHeight="1">
      <c r="A471" s="1" t="s">
        <v>1597</v>
      </c>
      <c r="B471" s="2" t="s">
        <v>1598</v>
      </c>
      <c r="C471" s="2" t="s">
        <v>1542</v>
      </c>
      <c r="D471" s="2" t="s">
        <v>342</v>
      </c>
      <c r="E471" s="2" t="s">
        <v>1599</v>
      </c>
      <c r="F471" s="2" t="s">
        <v>61</v>
      </c>
      <c r="G471" s="8" t="s">
        <v>1600</v>
      </c>
      <c r="H471" s="2" t="s">
        <v>1601</v>
      </c>
      <c r="I471" s="1" t="s">
        <v>34</v>
      </c>
      <c r="J471" s="1" t="s">
        <v>35</v>
      </c>
      <c r="K471" s="6" t="s">
        <v>40</v>
      </c>
      <c r="L471" s="1"/>
    </row>
    <row r="472" spans="1:12" ht="15.75" customHeight="1">
      <c r="A472" s="1" t="s">
        <v>1602</v>
      </c>
      <c r="B472" s="2" t="s">
        <v>1568</v>
      </c>
      <c r="C472" s="2" t="s">
        <v>1542</v>
      </c>
      <c r="D472" s="2" t="s">
        <v>342</v>
      </c>
      <c r="E472" s="2" t="s">
        <v>1569</v>
      </c>
      <c r="F472" s="2" t="s">
        <v>15</v>
      </c>
      <c r="G472" s="8" t="s">
        <v>1570</v>
      </c>
      <c r="H472" s="2" t="s">
        <v>1603</v>
      </c>
      <c r="I472" s="1" t="s">
        <v>18</v>
      </c>
      <c r="J472" s="1" t="s">
        <v>19</v>
      </c>
      <c r="K472" s="6" t="s">
        <v>40</v>
      </c>
      <c r="L472" s="1"/>
    </row>
    <row r="473" spans="1:12" ht="15.75" customHeight="1">
      <c r="A473" s="1" t="s">
        <v>1604</v>
      </c>
      <c r="B473" s="2" t="s">
        <v>1582</v>
      </c>
      <c r="C473" s="2" t="s">
        <v>1542</v>
      </c>
      <c r="D473" s="2" t="s">
        <v>342</v>
      </c>
      <c r="E473" s="2" t="s">
        <v>1583</v>
      </c>
      <c r="F473" s="2" t="s">
        <v>126</v>
      </c>
      <c r="G473" s="8" t="s">
        <v>1584</v>
      </c>
      <c r="H473" s="2" t="s">
        <v>1605</v>
      </c>
      <c r="I473" s="1" t="s">
        <v>34</v>
      </c>
      <c r="J473" s="1" t="s">
        <v>35</v>
      </c>
      <c r="K473" s="6" t="s">
        <v>40</v>
      </c>
      <c r="L473" s="1"/>
    </row>
    <row r="474" spans="1:12" ht="15.75" customHeight="1">
      <c r="A474" s="1" t="s">
        <v>1606</v>
      </c>
      <c r="B474" s="2" t="s">
        <v>1552</v>
      </c>
      <c r="C474" s="2" t="s">
        <v>1542</v>
      </c>
      <c r="D474" s="2" t="s">
        <v>342</v>
      </c>
      <c r="E474" s="2" t="s">
        <v>1553</v>
      </c>
      <c r="F474" s="2" t="s">
        <v>46</v>
      </c>
      <c r="G474" s="8" t="s">
        <v>1554</v>
      </c>
      <c r="H474" s="2" t="s">
        <v>1607</v>
      </c>
      <c r="I474" s="1" t="s">
        <v>18</v>
      </c>
      <c r="J474" s="1" t="s">
        <v>19</v>
      </c>
      <c r="K474" s="6" t="s">
        <v>40</v>
      </c>
      <c r="L474" s="1"/>
    </row>
    <row r="475" spans="1:12" ht="15.75" customHeight="1">
      <c r="A475" s="1" t="s">
        <v>1608</v>
      </c>
      <c r="B475" s="2" t="s">
        <v>1568</v>
      </c>
      <c r="C475" s="2" t="s">
        <v>1542</v>
      </c>
      <c r="D475" s="2" t="s">
        <v>342</v>
      </c>
      <c r="E475" s="2" t="s">
        <v>1569</v>
      </c>
      <c r="F475" s="2" t="s">
        <v>15</v>
      </c>
      <c r="G475" s="8" t="s">
        <v>1570</v>
      </c>
      <c r="H475" s="2" t="s">
        <v>1609</v>
      </c>
      <c r="I475" s="1" t="s">
        <v>34</v>
      </c>
      <c r="J475" s="1" t="s">
        <v>35</v>
      </c>
      <c r="K475" s="6" t="s">
        <v>40</v>
      </c>
      <c r="L475" s="1"/>
    </row>
    <row r="476" spans="1:12" ht="15.75" customHeight="1">
      <c r="A476" s="1" t="s">
        <v>1610</v>
      </c>
      <c r="B476" s="2" t="s">
        <v>1547</v>
      </c>
      <c r="C476" s="2" t="s">
        <v>1542</v>
      </c>
      <c r="D476" s="2" t="s">
        <v>342</v>
      </c>
      <c r="E476" s="2" t="s">
        <v>1548</v>
      </c>
      <c r="F476" s="2" t="s">
        <v>46</v>
      </c>
      <c r="G476" s="8" t="s">
        <v>1549</v>
      </c>
      <c r="H476" s="2" t="s">
        <v>1611</v>
      </c>
      <c r="I476" s="1" t="s">
        <v>1297</v>
      </c>
      <c r="J476" s="1" t="s">
        <v>50</v>
      </c>
      <c r="K476" s="6" t="s">
        <v>40</v>
      </c>
      <c r="L476" s="1"/>
    </row>
    <row r="477" spans="1:12" ht="15.75" customHeight="1">
      <c r="A477" s="1" t="s">
        <v>1612</v>
      </c>
      <c r="B477" s="2" t="s">
        <v>1547</v>
      </c>
      <c r="C477" s="2" t="s">
        <v>1542</v>
      </c>
      <c r="D477" s="2" t="s">
        <v>342</v>
      </c>
      <c r="E477" s="2" t="s">
        <v>1548</v>
      </c>
      <c r="F477" s="2" t="s">
        <v>46</v>
      </c>
      <c r="G477" s="8" t="s">
        <v>1549</v>
      </c>
      <c r="H477" s="2" t="s">
        <v>1613</v>
      </c>
      <c r="I477" s="1" t="s">
        <v>34</v>
      </c>
      <c r="J477" s="1" t="s">
        <v>35</v>
      </c>
      <c r="K477" s="6" t="s">
        <v>40</v>
      </c>
      <c r="L477" s="1"/>
    </row>
    <row r="478" spans="1:12" ht="15.75" customHeight="1">
      <c r="A478" s="1" t="s">
        <v>1614</v>
      </c>
      <c r="B478" s="2" t="s">
        <v>1587</v>
      </c>
      <c r="C478" s="2" t="s">
        <v>1542</v>
      </c>
      <c r="D478" s="2" t="s">
        <v>342</v>
      </c>
      <c r="E478" s="2" t="s">
        <v>1588</v>
      </c>
      <c r="F478" s="2" t="s">
        <v>126</v>
      </c>
      <c r="G478" s="8" t="s">
        <v>1589</v>
      </c>
      <c r="H478" s="2" t="s">
        <v>1615</v>
      </c>
      <c r="I478" s="1" t="s">
        <v>18</v>
      </c>
      <c r="J478" s="1" t="s">
        <v>19</v>
      </c>
      <c r="K478" s="6" t="s">
        <v>40</v>
      </c>
      <c r="L478" s="1"/>
    </row>
    <row r="479" spans="1:12" ht="15.75" customHeight="1">
      <c r="A479" s="1" t="s">
        <v>1616</v>
      </c>
      <c r="B479" s="2" t="s">
        <v>1568</v>
      </c>
      <c r="C479" s="2" t="s">
        <v>1542</v>
      </c>
      <c r="D479" s="2" t="s">
        <v>342</v>
      </c>
      <c r="E479" s="2" t="s">
        <v>1569</v>
      </c>
      <c r="F479" s="2" t="s">
        <v>15</v>
      </c>
      <c r="G479" s="8" t="s">
        <v>1570</v>
      </c>
      <c r="H479" s="2" t="s">
        <v>1617</v>
      </c>
      <c r="I479" s="1" t="s">
        <v>18</v>
      </c>
      <c r="J479" s="1" t="s">
        <v>19</v>
      </c>
      <c r="K479" s="6" t="s">
        <v>40</v>
      </c>
      <c r="L479" s="1"/>
    </row>
    <row r="480" spans="1:12" ht="15.75" customHeight="1">
      <c r="A480" s="1" t="s">
        <v>1618</v>
      </c>
      <c r="B480" s="2" t="s">
        <v>1582</v>
      </c>
      <c r="C480" s="2" t="s">
        <v>1542</v>
      </c>
      <c r="D480" s="2" t="s">
        <v>342</v>
      </c>
      <c r="E480" s="2" t="s">
        <v>1583</v>
      </c>
      <c r="F480" s="2" t="s">
        <v>126</v>
      </c>
      <c r="G480" s="8" t="s">
        <v>1584</v>
      </c>
      <c r="H480" s="2" t="s">
        <v>1619</v>
      </c>
      <c r="I480" s="1" t="s">
        <v>18</v>
      </c>
      <c r="J480" s="1" t="s">
        <v>19</v>
      </c>
      <c r="K480" s="6" t="s">
        <v>40</v>
      </c>
      <c r="L480" s="1"/>
    </row>
    <row r="481" spans="1:12" ht="15.75" customHeight="1">
      <c r="A481" s="1" t="s">
        <v>1620</v>
      </c>
      <c r="B481" s="2" t="s">
        <v>1568</v>
      </c>
      <c r="C481" s="2" t="s">
        <v>1542</v>
      </c>
      <c r="D481" s="2" t="s">
        <v>342</v>
      </c>
      <c r="E481" s="2" t="s">
        <v>1569</v>
      </c>
      <c r="F481" s="2" t="s">
        <v>15</v>
      </c>
      <c r="G481" s="8" t="s">
        <v>1570</v>
      </c>
      <c r="H481" s="2" t="s">
        <v>1621</v>
      </c>
      <c r="I481" s="1" t="s">
        <v>18</v>
      </c>
      <c r="J481" s="1" t="s">
        <v>19</v>
      </c>
      <c r="K481" s="6" t="s">
        <v>40</v>
      </c>
      <c r="L481" s="1"/>
    </row>
    <row r="482" spans="1:12" ht="15.75" customHeight="1">
      <c r="A482" s="1" t="s">
        <v>1622</v>
      </c>
      <c r="B482" s="2" t="s">
        <v>1552</v>
      </c>
      <c r="C482" s="2" t="s">
        <v>1542</v>
      </c>
      <c r="D482" s="2" t="s">
        <v>342</v>
      </c>
      <c r="E482" s="2" t="s">
        <v>1553</v>
      </c>
      <c r="F482" s="2" t="s">
        <v>46</v>
      </c>
      <c r="G482" s="8" t="s">
        <v>1554</v>
      </c>
      <c r="H482" s="2" t="s">
        <v>1623</v>
      </c>
      <c r="I482" s="1" t="s">
        <v>34</v>
      </c>
      <c r="J482" s="1" t="s">
        <v>35</v>
      </c>
      <c r="K482" s="6" t="s">
        <v>20</v>
      </c>
      <c r="L482" s="6" t="s">
        <v>1624</v>
      </c>
    </row>
    <row r="483" spans="1:12" ht="15.75" customHeight="1">
      <c r="A483" s="1" t="s">
        <v>1625</v>
      </c>
      <c r="B483" s="2" t="s">
        <v>1547</v>
      </c>
      <c r="C483" s="2" t="s">
        <v>1542</v>
      </c>
      <c r="D483" s="2" t="s">
        <v>342</v>
      </c>
      <c r="E483" s="2" t="s">
        <v>1548</v>
      </c>
      <c r="F483" s="2" t="s">
        <v>46</v>
      </c>
      <c r="G483" s="8" t="s">
        <v>1549</v>
      </c>
      <c r="H483" s="2" t="s">
        <v>1626</v>
      </c>
      <c r="I483" s="1" t="s">
        <v>34</v>
      </c>
      <c r="J483" s="1" t="s">
        <v>35</v>
      </c>
      <c r="K483" s="6" t="s">
        <v>40</v>
      </c>
      <c r="L483" s="1"/>
    </row>
    <row r="484" spans="1:12" ht="15.75" customHeight="1">
      <c r="A484" s="1" t="s">
        <v>1627</v>
      </c>
      <c r="B484" s="2" t="s">
        <v>1547</v>
      </c>
      <c r="C484" s="2" t="s">
        <v>1542</v>
      </c>
      <c r="D484" s="2" t="s">
        <v>342</v>
      </c>
      <c r="E484" s="2" t="s">
        <v>1548</v>
      </c>
      <c r="F484" s="2" t="s">
        <v>46</v>
      </c>
      <c r="G484" s="2" t="s">
        <v>1549</v>
      </c>
      <c r="H484" s="2" t="s">
        <v>1628</v>
      </c>
      <c r="I484" s="1" t="s">
        <v>1297</v>
      </c>
      <c r="J484" s="1" t="s">
        <v>50</v>
      </c>
      <c r="K484" s="6" t="s">
        <v>40</v>
      </c>
      <c r="L484" s="1"/>
    </row>
    <row r="485" spans="1:12" ht="15.75" customHeight="1">
      <c r="A485" s="1" t="s">
        <v>1629</v>
      </c>
      <c r="B485" s="2" t="s">
        <v>1541</v>
      </c>
      <c r="C485" s="2" t="s">
        <v>1542</v>
      </c>
      <c r="D485" s="2" t="s">
        <v>342</v>
      </c>
      <c r="E485" s="2" t="s">
        <v>1543</v>
      </c>
      <c r="F485" s="2" t="s">
        <v>180</v>
      </c>
      <c r="G485" s="8" t="s">
        <v>1544</v>
      </c>
      <c r="H485" s="2" t="s">
        <v>1630</v>
      </c>
      <c r="I485" s="1" t="s">
        <v>34</v>
      </c>
      <c r="J485" s="1" t="s">
        <v>35</v>
      </c>
      <c r="K485" s="6" t="s">
        <v>40</v>
      </c>
      <c r="L485" s="1"/>
    </row>
    <row r="486" spans="1:12" ht="15.75" customHeight="1">
      <c r="A486" s="1" t="s">
        <v>1631</v>
      </c>
      <c r="B486" s="2" t="s">
        <v>1632</v>
      </c>
      <c r="C486" s="2" t="s">
        <v>1633</v>
      </c>
      <c r="D486" s="2" t="s">
        <v>1226</v>
      </c>
      <c r="E486" s="2" t="s">
        <v>1634</v>
      </c>
      <c r="F486" s="2" t="s">
        <v>61</v>
      </c>
      <c r="G486" s="8" t="s">
        <v>1635</v>
      </c>
      <c r="H486" s="2" t="s">
        <v>1636</v>
      </c>
      <c r="I486" s="1" t="s">
        <v>1637</v>
      </c>
      <c r="J486" s="1" t="s">
        <v>35</v>
      </c>
      <c r="K486" s="6" t="s">
        <v>40</v>
      </c>
      <c r="L486" s="1"/>
    </row>
    <row r="487" spans="1:12" ht="15.75" customHeight="1">
      <c r="A487" s="1" t="s">
        <v>1638</v>
      </c>
      <c r="B487" s="2" t="s">
        <v>1632</v>
      </c>
      <c r="C487" s="2" t="s">
        <v>1633</v>
      </c>
      <c r="D487" s="2" t="s">
        <v>1226</v>
      </c>
      <c r="E487" s="2" t="s">
        <v>1634</v>
      </c>
      <c r="F487" s="2" t="s">
        <v>61</v>
      </c>
      <c r="G487" s="8" t="s">
        <v>1635</v>
      </c>
      <c r="H487" s="2" t="s">
        <v>1639</v>
      </c>
      <c r="I487" s="1" t="s">
        <v>1637</v>
      </c>
      <c r="J487" s="1" t="s">
        <v>35</v>
      </c>
      <c r="K487" s="6" t="s">
        <v>40</v>
      </c>
      <c r="L487" s="1"/>
    </row>
    <row r="488" spans="1:12" ht="15.75" customHeight="1">
      <c r="A488" s="1" t="s">
        <v>1640</v>
      </c>
      <c r="B488" s="2" t="s">
        <v>1632</v>
      </c>
      <c r="C488" s="2" t="s">
        <v>1633</v>
      </c>
      <c r="D488" s="2" t="s">
        <v>1226</v>
      </c>
      <c r="E488" s="2" t="s">
        <v>1634</v>
      </c>
      <c r="F488" s="2" t="s">
        <v>61</v>
      </c>
      <c r="G488" s="8" t="s">
        <v>1635</v>
      </c>
      <c r="H488" s="2" t="s">
        <v>1641</v>
      </c>
      <c r="I488" s="1" t="s">
        <v>1637</v>
      </c>
      <c r="J488" s="1" t="s">
        <v>35</v>
      </c>
      <c r="K488" s="6" t="s">
        <v>40</v>
      </c>
      <c r="L488" s="1"/>
    </row>
    <row r="489" spans="1:12" ht="15.75" customHeight="1">
      <c r="A489" s="1" t="s">
        <v>1642</v>
      </c>
      <c r="B489" s="2" t="s">
        <v>1632</v>
      </c>
      <c r="C489" s="2" t="s">
        <v>1633</v>
      </c>
      <c r="D489" s="2" t="s">
        <v>1226</v>
      </c>
      <c r="E489" s="2" t="s">
        <v>1634</v>
      </c>
      <c r="F489" s="2" t="s">
        <v>61</v>
      </c>
      <c r="G489" s="8" t="s">
        <v>1635</v>
      </c>
      <c r="H489" s="2" t="s">
        <v>1643</v>
      </c>
      <c r="I489" s="1" t="s">
        <v>1637</v>
      </c>
      <c r="J489" s="1" t="s">
        <v>35</v>
      </c>
      <c r="K489" s="6" t="s">
        <v>40</v>
      </c>
      <c r="L489" s="1"/>
    </row>
    <row r="490" spans="1:12" ht="15.75" customHeight="1">
      <c r="A490" s="1" t="s">
        <v>1644</v>
      </c>
      <c r="B490" s="2" t="s">
        <v>1645</v>
      </c>
      <c r="C490" s="2" t="s">
        <v>1646</v>
      </c>
      <c r="D490" s="2" t="s">
        <v>454</v>
      </c>
      <c r="E490" s="2" t="s">
        <v>1647</v>
      </c>
      <c r="F490" s="2" t="s">
        <v>120</v>
      </c>
      <c r="G490" s="8" t="s">
        <v>1648</v>
      </c>
      <c r="H490" s="2" t="s">
        <v>1649</v>
      </c>
      <c r="I490" s="1" t="s">
        <v>34</v>
      </c>
      <c r="J490" s="1" t="s">
        <v>35</v>
      </c>
      <c r="K490" s="6" t="s">
        <v>40</v>
      </c>
      <c r="L490" s="6"/>
    </row>
    <row r="491" spans="1:12" ht="15.75" customHeight="1">
      <c r="A491" s="1" t="s">
        <v>1650</v>
      </c>
      <c r="B491" s="2" t="s">
        <v>1645</v>
      </c>
      <c r="C491" s="2" t="s">
        <v>1646</v>
      </c>
      <c r="D491" s="2" t="s">
        <v>454</v>
      </c>
      <c r="E491" s="2" t="s">
        <v>1647</v>
      </c>
      <c r="F491" s="2" t="s">
        <v>120</v>
      </c>
      <c r="G491" s="8" t="s">
        <v>1648</v>
      </c>
      <c r="H491" s="2" t="s">
        <v>1651</v>
      </c>
      <c r="I491" s="1" t="s">
        <v>34</v>
      </c>
      <c r="J491" s="1" t="s">
        <v>35</v>
      </c>
      <c r="K491" s="6" t="s">
        <v>40</v>
      </c>
      <c r="L491" s="6"/>
    </row>
    <row r="492" spans="1:12" ht="15.75" customHeight="1">
      <c r="A492" s="1" t="s">
        <v>1652</v>
      </c>
      <c r="B492" s="2" t="s">
        <v>1645</v>
      </c>
      <c r="C492" s="2" t="s">
        <v>1646</v>
      </c>
      <c r="D492" s="2" t="s">
        <v>454</v>
      </c>
      <c r="E492" s="2" t="s">
        <v>1647</v>
      </c>
      <c r="F492" s="2" t="s">
        <v>120</v>
      </c>
      <c r="G492" s="8" t="s">
        <v>1648</v>
      </c>
      <c r="H492" s="4" t="s">
        <v>1653</v>
      </c>
      <c r="I492" s="1" t="s">
        <v>34</v>
      </c>
      <c r="J492" s="1" t="s">
        <v>35</v>
      </c>
      <c r="K492" s="6" t="s">
        <v>40</v>
      </c>
      <c r="L492" s="6"/>
    </row>
    <row r="493" spans="1:12" ht="15.75" customHeight="1">
      <c r="A493" s="1" t="s">
        <v>1654</v>
      </c>
      <c r="B493" s="2" t="s">
        <v>1655</v>
      </c>
      <c r="C493" s="2" t="s">
        <v>1646</v>
      </c>
      <c r="D493" s="2" t="s">
        <v>454</v>
      </c>
      <c r="E493" s="2" t="s">
        <v>1656</v>
      </c>
      <c r="F493" s="2" t="s">
        <v>120</v>
      </c>
      <c r="G493" s="8" t="s">
        <v>1657</v>
      </c>
      <c r="H493" s="2" t="s">
        <v>1658</v>
      </c>
      <c r="I493" s="1" t="s">
        <v>18</v>
      </c>
      <c r="J493" s="1" t="s">
        <v>19</v>
      </c>
      <c r="K493" s="6" t="s">
        <v>40</v>
      </c>
      <c r="L493" s="6"/>
    </row>
    <row r="494" spans="1:12" ht="15.75" customHeight="1">
      <c r="A494" s="1" t="s">
        <v>1659</v>
      </c>
      <c r="B494" s="2" t="s">
        <v>1645</v>
      </c>
      <c r="C494" s="2" t="s">
        <v>1646</v>
      </c>
      <c r="D494" s="2" t="s">
        <v>454</v>
      </c>
      <c r="E494" s="2" t="s">
        <v>1647</v>
      </c>
      <c r="F494" s="2" t="s">
        <v>120</v>
      </c>
      <c r="G494" s="8" t="s">
        <v>1648</v>
      </c>
      <c r="H494" s="2" t="s">
        <v>1660</v>
      </c>
      <c r="I494" s="1" t="s">
        <v>18</v>
      </c>
      <c r="J494" s="1" t="s">
        <v>19</v>
      </c>
      <c r="K494" s="6" t="s">
        <v>40</v>
      </c>
      <c r="L494" s="6"/>
    </row>
    <row r="495" spans="1:12" ht="15.75" customHeight="1">
      <c r="A495" s="1" t="s">
        <v>1661</v>
      </c>
      <c r="B495" s="2" t="s">
        <v>1662</v>
      </c>
      <c r="C495" s="2" t="s">
        <v>1646</v>
      </c>
      <c r="D495" s="2" t="s">
        <v>454</v>
      </c>
      <c r="E495" s="2" t="s">
        <v>1663</v>
      </c>
      <c r="F495" s="2" t="s">
        <v>126</v>
      </c>
      <c r="G495" s="8" t="s">
        <v>1664</v>
      </c>
      <c r="H495" s="2" t="s">
        <v>1665</v>
      </c>
      <c r="I495" s="1" t="s">
        <v>116</v>
      </c>
      <c r="J495" s="1" t="s">
        <v>19</v>
      </c>
      <c r="K495" s="6" t="s">
        <v>40</v>
      </c>
      <c r="L495" s="1"/>
    </row>
    <row r="496" spans="1:12" ht="15.75" customHeight="1">
      <c r="A496" s="1" t="s">
        <v>1666</v>
      </c>
      <c r="B496" s="2" t="s">
        <v>1667</v>
      </c>
      <c r="C496" s="2" t="s">
        <v>1646</v>
      </c>
      <c r="D496" s="2" t="s">
        <v>454</v>
      </c>
      <c r="E496" s="2" t="s">
        <v>1668</v>
      </c>
      <c r="F496" s="2" t="s">
        <v>120</v>
      </c>
      <c r="G496" s="8" t="s">
        <v>1669</v>
      </c>
      <c r="H496" s="2" t="s">
        <v>1670</v>
      </c>
      <c r="I496" s="1" t="s">
        <v>34</v>
      </c>
      <c r="J496" s="1" t="s">
        <v>35</v>
      </c>
      <c r="K496" s="6" t="s">
        <v>40</v>
      </c>
      <c r="L496" s="6"/>
    </row>
    <row r="497" spans="1:12" ht="15.75" customHeight="1">
      <c r="A497" s="1" t="s">
        <v>1671</v>
      </c>
      <c r="B497" s="2" t="s">
        <v>1655</v>
      </c>
      <c r="C497" s="2" t="s">
        <v>1646</v>
      </c>
      <c r="D497" s="2" t="s">
        <v>454</v>
      </c>
      <c r="E497" s="2" t="s">
        <v>1656</v>
      </c>
      <c r="F497" s="2" t="s">
        <v>120</v>
      </c>
      <c r="G497" s="8" t="s">
        <v>1657</v>
      </c>
      <c r="H497" s="2" t="s">
        <v>1672</v>
      </c>
      <c r="I497" s="1" t="s">
        <v>34</v>
      </c>
      <c r="J497" s="1" t="s">
        <v>35</v>
      </c>
      <c r="K497" s="6" t="s">
        <v>40</v>
      </c>
      <c r="L497" s="6"/>
    </row>
    <row r="498" spans="1:12" ht="15.75" customHeight="1">
      <c r="A498" s="1" t="s">
        <v>1673</v>
      </c>
      <c r="B498" s="2" t="s">
        <v>1662</v>
      </c>
      <c r="C498" s="2" t="s">
        <v>1646</v>
      </c>
      <c r="D498" s="2" t="s">
        <v>454</v>
      </c>
      <c r="E498" s="2" t="s">
        <v>1663</v>
      </c>
      <c r="F498" s="2" t="s">
        <v>126</v>
      </c>
      <c r="G498" s="8" t="s">
        <v>1664</v>
      </c>
      <c r="H498" s="2" t="s">
        <v>1674</v>
      </c>
      <c r="I498" s="1" t="s">
        <v>116</v>
      </c>
      <c r="J498" s="1" t="s">
        <v>19</v>
      </c>
      <c r="K498" s="6" t="s">
        <v>40</v>
      </c>
      <c r="L498" s="1"/>
    </row>
    <row r="499" spans="1:12" ht="15.75" customHeight="1">
      <c r="A499" s="1" t="s">
        <v>1675</v>
      </c>
      <c r="B499" s="2" t="s">
        <v>1655</v>
      </c>
      <c r="C499" s="2" t="s">
        <v>1646</v>
      </c>
      <c r="D499" s="2" t="s">
        <v>454</v>
      </c>
      <c r="E499" s="2" t="s">
        <v>1656</v>
      </c>
      <c r="F499" s="2" t="s">
        <v>120</v>
      </c>
      <c r="G499" s="8" t="s">
        <v>1657</v>
      </c>
      <c r="H499" s="2" t="s">
        <v>1676</v>
      </c>
      <c r="I499" s="1" t="s">
        <v>34</v>
      </c>
      <c r="J499" s="1" t="s">
        <v>35</v>
      </c>
      <c r="K499" s="6" t="s">
        <v>40</v>
      </c>
      <c r="L499" s="6"/>
    </row>
    <row r="500" spans="1:12" ht="15.75" customHeight="1">
      <c r="A500" s="1" t="s">
        <v>1677</v>
      </c>
      <c r="B500" s="2" t="s">
        <v>1662</v>
      </c>
      <c r="C500" s="2" t="s">
        <v>1646</v>
      </c>
      <c r="D500" s="2" t="s">
        <v>454</v>
      </c>
      <c r="E500" s="2" t="s">
        <v>1663</v>
      </c>
      <c r="F500" s="2" t="s">
        <v>126</v>
      </c>
      <c r="G500" s="8" t="s">
        <v>1664</v>
      </c>
      <c r="H500" s="2" t="s">
        <v>1678</v>
      </c>
      <c r="I500" s="1" t="s">
        <v>116</v>
      </c>
      <c r="J500" s="1" t="s">
        <v>19</v>
      </c>
      <c r="K500" s="6" t="s">
        <v>40</v>
      </c>
      <c r="L500" s="1"/>
    </row>
    <row r="501" spans="1:12" ht="15.75" customHeight="1">
      <c r="A501" s="1" t="s">
        <v>1679</v>
      </c>
      <c r="B501" s="2" t="s">
        <v>1655</v>
      </c>
      <c r="C501" s="2" t="s">
        <v>1646</v>
      </c>
      <c r="D501" s="2" t="s">
        <v>454</v>
      </c>
      <c r="E501" s="2" t="s">
        <v>1656</v>
      </c>
      <c r="F501" s="2" t="s">
        <v>120</v>
      </c>
      <c r="G501" s="8" t="s">
        <v>1657</v>
      </c>
      <c r="H501" s="2" t="s">
        <v>1680</v>
      </c>
      <c r="I501" s="1" t="s">
        <v>160</v>
      </c>
      <c r="J501" s="1" t="s">
        <v>78</v>
      </c>
      <c r="K501" s="6" t="s">
        <v>40</v>
      </c>
      <c r="L501" s="6"/>
    </row>
    <row r="502" spans="1:12" ht="15.75" customHeight="1">
      <c r="A502" s="1" t="s">
        <v>1681</v>
      </c>
      <c r="B502" s="2" t="s">
        <v>1662</v>
      </c>
      <c r="C502" s="2" t="s">
        <v>1646</v>
      </c>
      <c r="D502" s="2" t="s">
        <v>454</v>
      </c>
      <c r="E502" s="2" t="s">
        <v>1663</v>
      </c>
      <c r="F502" s="2" t="s">
        <v>126</v>
      </c>
      <c r="G502" s="8" t="s">
        <v>1664</v>
      </c>
      <c r="H502" s="2" t="s">
        <v>1682</v>
      </c>
      <c r="I502" s="1" t="s">
        <v>143</v>
      </c>
      <c r="J502" s="1" t="s">
        <v>35</v>
      </c>
      <c r="K502" s="6" t="s">
        <v>40</v>
      </c>
      <c r="L502" s="1"/>
    </row>
    <row r="503" spans="1:12" ht="15.75" customHeight="1">
      <c r="A503" s="1" t="s">
        <v>1683</v>
      </c>
      <c r="B503" s="2" t="s">
        <v>1655</v>
      </c>
      <c r="C503" s="2" t="s">
        <v>1646</v>
      </c>
      <c r="D503" s="2" t="s">
        <v>454</v>
      </c>
      <c r="E503" s="2" t="s">
        <v>1656</v>
      </c>
      <c r="F503" s="2" t="s">
        <v>120</v>
      </c>
      <c r="G503" s="8" t="s">
        <v>1657</v>
      </c>
      <c r="H503" s="2" t="s">
        <v>1684</v>
      </c>
      <c r="I503" s="1" t="s">
        <v>34</v>
      </c>
      <c r="J503" s="1" t="s">
        <v>35</v>
      </c>
      <c r="K503" s="6" t="s">
        <v>40</v>
      </c>
      <c r="L503" s="6"/>
    </row>
    <row r="504" spans="1:12" ht="15.75" customHeight="1">
      <c r="A504" s="1" t="s">
        <v>1685</v>
      </c>
      <c r="B504" s="2" t="s">
        <v>1645</v>
      </c>
      <c r="C504" s="2" t="s">
        <v>1646</v>
      </c>
      <c r="D504" s="2" t="s">
        <v>454</v>
      </c>
      <c r="E504" s="2" t="s">
        <v>1647</v>
      </c>
      <c r="F504" s="2" t="s">
        <v>120</v>
      </c>
      <c r="G504" s="8" t="s">
        <v>1648</v>
      </c>
      <c r="H504" s="2" t="s">
        <v>1686</v>
      </c>
      <c r="I504" s="1" t="s">
        <v>34</v>
      </c>
      <c r="J504" s="1" t="s">
        <v>35</v>
      </c>
      <c r="K504" s="6" t="s">
        <v>40</v>
      </c>
      <c r="L504" s="6"/>
    </row>
    <row r="505" spans="1:12" ht="15.75" customHeight="1">
      <c r="A505" s="1" t="s">
        <v>1687</v>
      </c>
      <c r="B505" s="2" t="s">
        <v>1688</v>
      </c>
      <c r="C505" s="2" t="s">
        <v>1689</v>
      </c>
      <c r="D505" s="2" t="s">
        <v>1363</v>
      </c>
      <c r="E505" s="2" t="s">
        <v>1690</v>
      </c>
      <c r="F505" s="2" t="s">
        <v>157</v>
      </c>
      <c r="G505" s="8" t="s">
        <v>1691</v>
      </c>
      <c r="H505" s="2" t="s">
        <v>1692</v>
      </c>
      <c r="I505" s="1" t="s">
        <v>1432</v>
      </c>
      <c r="J505" s="1" t="s">
        <v>28</v>
      </c>
      <c r="K505" s="6" t="s">
        <v>40</v>
      </c>
      <c r="L505" s="1"/>
    </row>
    <row r="506" spans="1:12" ht="15.75" customHeight="1">
      <c r="A506" s="1" t="s">
        <v>1693</v>
      </c>
      <c r="B506" s="2" t="s">
        <v>1688</v>
      </c>
      <c r="C506" s="2" t="s">
        <v>1689</v>
      </c>
      <c r="D506" s="2" t="s">
        <v>1363</v>
      </c>
      <c r="E506" s="2" t="s">
        <v>1690</v>
      </c>
      <c r="F506" s="2" t="s">
        <v>157</v>
      </c>
      <c r="G506" s="8" t="s">
        <v>1691</v>
      </c>
      <c r="H506" s="2" t="s">
        <v>1694</v>
      </c>
      <c r="I506" s="1" t="s">
        <v>1432</v>
      </c>
      <c r="J506" s="1" t="s">
        <v>28</v>
      </c>
      <c r="K506" s="6" t="s">
        <v>40</v>
      </c>
      <c r="L506" s="1"/>
    </row>
    <row r="507" spans="1:12" ht="15.75" customHeight="1">
      <c r="A507" s="1" t="s">
        <v>1695</v>
      </c>
      <c r="B507" s="2" t="s">
        <v>1696</v>
      </c>
      <c r="C507" s="2" t="s">
        <v>1689</v>
      </c>
      <c r="D507" s="2" t="s">
        <v>1363</v>
      </c>
      <c r="E507" s="2" t="s">
        <v>1697</v>
      </c>
      <c r="F507" s="2" t="s">
        <v>264</v>
      </c>
      <c r="G507" s="8" t="s">
        <v>1698</v>
      </c>
      <c r="H507" s="2" t="s">
        <v>1699</v>
      </c>
      <c r="I507" s="1" t="s">
        <v>116</v>
      </c>
      <c r="J507" s="1" t="s">
        <v>19</v>
      </c>
      <c r="K507" s="6" t="s">
        <v>40</v>
      </c>
      <c r="L507" s="1"/>
    </row>
    <row r="508" spans="1:12" ht="15.75" customHeight="1">
      <c r="A508" s="1" t="s">
        <v>1700</v>
      </c>
      <c r="B508" s="2" t="s">
        <v>1696</v>
      </c>
      <c r="C508" s="2" t="s">
        <v>1689</v>
      </c>
      <c r="D508" s="2" t="s">
        <v>1363</v>
      </c>
      <c r="E508" s="2" t="s">
        <v>1697</v>
      </c>
      <c r="F508" s="2" t="s">
        <v>264</v>
      </c>
      <c r="G508" s="8" t="s">
        <v>1698</v>
      </c>
      <c r="H508" s="2" t="s">
        <v>1701</v>
      </c>
      <c r="I508" s="1" t="s">
        <v>1432</v>
      </c>
      <c r="J508" s="1" t="s">
        <v>28</v>
      </c>
      <c r="K508" s="6" t="s">
        <v>40</v>
      </c>
      <c r="L508" s="1"/>
    </row>
    <row r="509" spans="1:12" ht="15.75" customHeight="1">
      <c r="A509" s="1" t="s">
        <v>1702</v>
      </c>
      <c r="B509" s="2" t="s">
        <v>1703</v>
      </c>
      <c r="C509" s="2" t="s">
        <v>1689</v>
      </c>
      <c r="D509" s="2" t="s">
        <v>1363</v>
      </c>
      <c r="E509" s="2" t="s">
        <v>1704</v>
      </c>
      <c r="F509" s="2" t="s">
        <v>140</v>
      </c>
      <c r="G509" s="8" t="s">
        <v>1705</v>
      </c>
      <c r="H509" s="2" t="s">
        <v>1706</v>
      </c>
      <c r="I509" s="1" t="s">
        <v>116</v>
      </c>
      <c r="J509" s="1" t="s">
        <v>19</v>
      </c>
      <c r="K509" s="6" t="s">
        <v>40</v>
      </c>
      <c r="L509" s="1"/>
    </row>
    <row r="510" spans="1:12" ht="15.75" customHeight="1">
      <c r="A510" s="1" t="s">
        <v>1707</v>
      </c>
      <c r="B510" s="2" t="s">
        <v>1688</v>
      </c>
      <c r="C510" s="2" t="s">
        <v>1689</v>
      </c>
      <c r="D510" s="2" t="s">
        <v>1363</v>
      </c>
      <c r="E510" s="2" t="s">
        <v>1690</v>
      </c>
      <c r="F510" s="2" t="s">
        <v>157</v>
      </c>
      <c r="G510" s="8" t="s">
        <v>1691</v>
      </c>
      <c r="H510" s="2" t="s">
        <v>1708</v>
      </c>
      <c r="I510" s="1" t="s">
        <v>1432</v>
      </c>
      <c r="J510" s="1" t="s">
        <v>28</v>
      </c>
      <c r="K510" s="6" t="s">
        <v>40</v>
      </c>
      <c r="L510" s="1"/>
    </row>
    <row r="511" spans="1:12" ht="15.75" customHeight="1">
      <c r="A511" s="1" t="s">
        <v>1709</v>
      </c>
      <c r="B511" s="2" t="s">
        <v>1703</v>
      </c>
      <c r="C511" s="2" t="s">
        <v>1689</v>
      </c>
      <c r="D511" s="2" t="s">
        <v>1363</v>
      </c>
      <c r="E511" s="2" t="s">
        <v>1704</v>
      </c>
      <c r="F511" s="2" t="s">
        <v>140</v>
      </c>
      <c r="G511" s="8" t="s">
        <v>1705</v>
      </c>
      <c r="H511" s="2" t="s">
        <v>1710</v>
      </c>
      <c r="I511" s="1" t="s">
        <v>1711</v>
      </c>
      <c r="J511" s="1" t="s">
        <v>50</v>
      </c>
      <c r="K511" s="6" t="s">
        <v>40</v>
      </c>
      <c r="L511" s="1"/>
    </row>
    <row r="512" spans="1:12" ht="15.75" customHeight="1">
      <c r="A512" s="1" t="s">
        <v>1712</v>
      </c>
      <c r="B512" s="2" t="s">
        <v>1713</v>
      </c>
      <c r="C512" s="2" t="s">
        <v>1689</v>
      </c>
      <c r="D512" s="2" t="s">
        <v>1363</v>
      </c>
      <c r="E512" s="2" t="s">
        <v>1714</v>
      </c>
      <c r="F512" s="2" t="s">
        <v>157</v>
      </c>
      <c r="G512" s="8" t="s">
        <v>1715</v>
      </c>
      <c r="H512" s="2" t="s">
        <v>1716</v>
      </c>
      <c r="I512" s="1" t="s">
        <v>1432</v>
      </c>
      <c r="J512" s="1" t="s">
        <v>28</v>
      </c>
      <c r="K512" s="6" t="s">
        <v>40</v>
      </c>
      <c r="L512" s="1"/>
    </row>
    <row r="513" spans="1:12" ht="15.75" customHeight="1">
      <c r="A513" s="1" t="s">
        <v>1717</v>
      </c>
      <c r="B513" s="2" t="s">
        <v>1696</v>
      </c>
      <c r="C513" s="2" t="s">
        <v>1689</v>
      </c>
      <c r="D513" s="2" t="s">
        <v>1363</v>
      </c>
      <c r="E513" s="2" t="s">
        <v>1697</v>
      </c>
      <c r="F513" s="2" t="s">
        <v>264</v>
      </c>
      <c r="G513" s="8" t="s">
        <v>1698</v>
      </c>
      <c r="H513" s="2" t="s">
        <v>1718</v>
      </c>
      <c r="I513" s="1" t="s">
        <v>1432</v>
      </c>
      <c r="J513" s="1" t="s">
        <v>28</v>
      </c>
      <c r="K513" s="6" t="s">
        <v>40</v>
      </c>
      <c r="L513" s="1"/>
    </row>
    <row r="514" spans="1:12" ht="15.75" customHeight="1">
      <c r="A514" s="1" t="s">
        <v>1719</v>
      </c>
      <c r="B514" s="2" t="s">
        <v>1703</v>
      </c>
      <c r="C514" s="2" t="s">
        <v>1689</v>
      </c>
      <c r="D514" s="2" t="s">
        <v>1363</v>
      </c>
      <c r="E514" s="2" t="s">
        <v>1704</v>
      </c>
      <c r="F514" s="2" t="s">
        <v>140</v>
      </c>
      <c r="G514" s="8" t="s">
        <v>1705</v>
      </c>
      <c r="H514" s="2" t="s">
        <v>1720</v>
      </c>
      <c r="I514" s="1" t="s">
        <v>1432</v>
      </c>
      <c r="J514" s="1" t="s">
        <v>28</v>
      </c>
      <c r="K514" s="6" t="s">
        <v>40</v>
      </c>
      <c r="L514" s="1"/>
    </row>
    <row r="515" spans="1:12" ht="15.75" customHeight="1">
      <c r="A515" s="1" t="s">
        <v>1721</v>
      </c>
      <c r="B515" s="2" t="s">
        <v>1722</v>
      </c>
      <c r="C515" s="2" t="s">
        <v>1689</v>
      </c>
      <c r="D515" s="2" t="s">
        <v>1363</v>
      </c>
      <c r="E515" s="2" t="s">
        <v>1723</v>
      </c>
      <c r="F515" s="2" t="s">
        <v>140</v>
      </c>
      <c r="G515" s="8" t="s">
        <v>1724</v>
      </c>
      <c r="H515" s="2" t="s">
        <v>1725</v>
      </c>
      <c r="I515" s="1" t="s">
        <v>1432</v>
      </c>
      <c r="J515" s="1" t="s">
        <v>28</v>
      </c>
      <c r="K515" s="6" t="s">
        <v>40</v>
      </c>
      <c r="L515" s="1"/>
    </row>
    <row r="516" spans="1:12" ht="15.75" customHeight="1">
      <c r="A516" s="1" t="s">
        <v>1726</v>
      </c>
      <c r="B516" s="2" t="s">
        <v>1703</v>
      </c>
      <c r="C516" s="2" t="s">
        <v>1689</v>
      </c>
      <c r="D516" s="2" t="s">
        <v>1363</v>
      </c>
      <c r="E516" s="2" t="s">
        <v>1704</v>
      </c>
      <c r="F516" s="2" t="s">
        <v>140</v>
      </c>
      <c r="G516" s="8" t="s">
        <v>1705</v>
      </c>
      <c r="H516" s="2" t="s">
        <v>1727</v>
      </c>
      <c r="I516" s="1" t="s">
        <v>1432</v>
      </c>
      <c r="J516" s="1" t="s">
        <v>28</v>
      </c>
      <c r="K516" s="6" t="s">
        <v>40</v>
      </c>
      <c r="L516" s="1"/>
    </row>
    <row r="517" spans="1:12" ht="15.75" customHeight="1">
      <c r="A517" s="1" t="s">
        <v>1728</v>
      </c>
      <c r="B517" s="2" t="s">
        <v>1713</v>
      </c>
      <c r="C517" s="2" t="s">
        <v>1689</v>
      </c>
      <c r="D517" s="2" t="s">
        <v>1363</v>
      </c>
      <c r="E517" s="2" t="s">
        <v>1714</v>
      </c>
      <c r="F517" s="2" t="s">
        <v>157</v>
      </c>
      <c r="G517" s="8" t="s">
        <v>1715</v>
      </c>
      <c r="H517" s="2" t="s">
        <v>1729</v>
      </c>
      <c r="I517" s="1" t="s">
        <v>1432</v>
      </c>
      <c r="J517" s="1" t="s">
        <v>28</v>
      </c>
      <c r="K517" s="6" t="s">
        <v>40</v>
      </c>
      <c r="L517" s="1"/>
    </row>
    <row r="518" spans="1:12" ht="15.75" customHeight="1">
      <c r="A518" s="1" t="s">
        <v>1730</v>
      </c>
      <c r="B518" s="2" t="s">
        <v>1722</v>
      </c>
      <c r="C518" s="2" t="s">
        <v>1689</v>
      </c>
      <c r="D518" s="2" t="s">
        <v>1363</v>
      </c>
      <c r="E518" s="2" t="s">
        <v>1723</v>
      </c>
      <c r="F518" s="2" t="s">
        <v>140</v>
      </c>
      <c r="G518" s="8" t="s">
        <v>1724</v>
      </c>
      <c r="H518" s="2" t="s">
        <v>1731</v>
      </c>
      <c r="I518" s="1" t="s">
        <v>1432</v>
      </c>
      <c r="J518" s="1" t="s">
        <v>28</v>
      </c>
      <c r="K518" s="6" t="s">
        <v>40</v>
      </c>
      <c r="L518" s="1"/>
    </row>
    <row r="519" spans="1:12" ht="15.75" customHeight="1">
      <c r="A519" s="1" t="s">
        <v>1732</v>
      </c>
      <c r="B519" s="2" t="s">
        <v>1688</v>
      </c>
      <c r="C519" s="2" t="s">
        <v>1689</v>
      </c>
      <c r="D519" s="2" t="s">
        <v>1363</v>
      </c>
      <c r="E519" s="2" t="s">
        <v>1690</v>
      </c>
      <c r="F519" s="2" t="s">
        <v>157</v>
      </c>
      <c r="G519" s="8" t="s">
        <v>1691</v>
      </c>
      <c r="H519" s="2" t="s">
        <v>1733</v>
      </c>
      <c r="I519" s="1" t="s">
        <v>1432</v>
      </c>
      <c r="J519" s="1" t="s">
        <v>28</v>
      </c>
      <c r="K519" s="6" t="s">
        <v>40</v>
      </c>
      <c r="L519" s="1"/>
    </row>
    <row r="520" spans="1:12" ht="15.75" customHeight="1">
      <c r="A520" s="1" t="s">
        <v>1734</v>
      </c>
      <c r="B520" s="2" t="s">
        <v>1703</v>
      </c>
      <c r="C520" s="2" t="s">
        <v>1689</v>
      </c>
      <c r="D520" s="2" t="s">
        <v>1363</v>
      </c>
      <c r="E520" s="2" t="s">
        <v>1704</v>
      </c>
      <c r="F520" s="2" t="s">
        <v>140</v>
      </c>
      <c r="G520" s="8" t="s">
        <v>1705</v>
      </c>
      <c r="H520" s="2" t="s">
        <v>1735</v>
      </c>
      <c r="I520" s="1" t="s">
        <v>1432</v>
      </c>
      <c r="J520" s="1" t="s">
        <v>28</v>
      </c>
      <c r="K520" s="6" t="s">
        <v>40</v>
      </c>
      <c r="L520" s="1"/>
    </row>
    <row r="521" spans="1:12" ht="15.75" customHeight="1">
      <c r="A521" s="1" t="s">
        <v>1736</v>
      </c>
      <c r="B521" s="2" t="s">
        <v>1688</v>
      </c>
      <c r="C521" s="2" t="s">
        <v>1689</v>
      </c>
      <c r="D521" s="2" t="s">
        <v>1363</v>
      </c>
      <c r="E521" s="2" t="s">
        <v>1690</v>
      </c>
      <c r="F521" s="2" t="s">
        <v>157</v>
      </c>
      <c r="G521" s="8" t="s">
        <v>1691</v>
      </c>
      <c r="H521" s="2" t="s">
        <v>1737</v>
      </c>
      <c r="I521" s="1" t="s">
        <v>116</v>
      </c>
      <c r="J521" s="1" t="s">
        <v>19</v>
      </c>
      <c r="K521" s="6" t="s">
        <v>40</v>
      </c>
      <c r="L521" s="1"/>
    </row>
    <row r="522" spans="1:12" ht="15.75" customHeight="1">
      <c r="A522" s="1" t="s">
        <v>1738</v>
      </c>
      <c r="B522" s="2" t="s">
        <v>1688</v>
      </c>
      <c r="C522" s="2" t="s">
        <v>1689</v>
      </c>
      <c r="D522" s="2" t="s">
        <v>1363</v>
      </c>
      <c r="E522" s="2" t="s">
        <v>1690</v>
      </c>
      <c r="F522" s="2" t="s">
        <v>157</v>
      </c>
      <c r="G522" s="8" t="s">
        <v>1691</v>
      </c>
      <c r="H522" s="2" t="s">
        <v>1739</v>
      </c>
      <c r="I522" s="1" t="s">
        <v>1432</v>
      </c>
      <c r="J522" s="1" t="s">
        <v>28</v>
      </c>
      <c r="K522" s="6" t="s">
        <v>40</v>
      </c>
      <c r="L522" s="1"/>
    </row>
    <row r="523" spans="1:12" ht="15.75" customHeight="1">
      <c r="A523" s="1" t="s">
        <v>1740</v>
      </c>
      <c r="B523" s="2" t="s">
        <v>1722</v>
      </c>
      <c r="C523" s="2" t="s">
        <v>1689</v>
      </c>
      <c r="D523" s="2" t="s">
        <v>1363</v>
      </c>
      <c r="E523" s="2" t="s">
        <v>1723</v>
      </c>
      <c r="F523" s="2" t="s">
        <v>140</v>
      </c>
      <c r="G523" s="8" t="s">
        <v>1724</v>
      </c>
      <c r="H523" s="2" t="s">
        <v>1741</v>
      </c>
      <c r="I523" s="1" t="s">
        <v>100</v>
      </c>
      <c r="J523" s="1" t="s">
        <v>78</v>
      </c>
      <c r="K523" s="6" t="s">
        <v>40</v>
      </c>
      <c r="L523" s="1"/>
    </row>
    <row r="524" spans="1:12" ht="15.75" customHeight="1">
      <c r="A524" s="1" t="s">
        <v>1742</v>
      </c>
      <c r="B524" s="2" t="s">
        <v>1713</v>
      </c>
      <c r="C524" s="2" t="s">
        <v>1689</v>
      </c>
      <c r="D524" s="2" t="s">
        <v>1363</v>
      </c>
      <c r="E524" s="2" t="s">
        <v>1714</v>
      </c>
      <c r="F524" s="2" t="s">
        <v>157</v>
      </c>
      <c r="G524" s="8" t="s">
        <v>1715</v>
      </c>
      <c r="H524" s="2" t="s">
        <v>1743</v>
      </c>
      <c r="I524" s="1" t="s">
        <v>1432</v>
      </c>
      <c r="J524" s="1" t="s">
        <v>28</v>
      </c>
      <c r="K524" s="6" t="s">
        <v>40</v>
      </c>
      <c r="L524" s="1"/>
    </row>
    <row r="525" spans="1:12" ht="15.75" customHeight="1">
      <c r="A525" s="1" t="s">
        <v>1744</v>
      </c>
      <c r="B525" s="2" t="s">
        <v>1703</v>
      </c>
      <c r="C525" s="2" t="s">
        <v>1689</v>
      </c>
      <c r="D525" s="2" t="s">
        <v>1363</v>
      </c>
      <c r="E525" s="2" t="s">
        <v>1704</v>
      </c>
      <c r="F525" s="2" t="s">
        <v>140</v>
      </c>
      <c r="G525" s="8" t="s">
        <v>1705</v>
      </c>
      <c r="H525" s="2" t="s">
        <v>1745</v>
      </c>
      <c r="I525" s="1" t="s">
        <v>1711</v>
      </c>
      <c r="J525" s="1" t="s">
        <v>50</v>
      </c>
      <c r="K525" s="6" t="s">
        <v>40</v>
      </c>
      <c r="L525" s="1"/>
    </row>
    <row r="526" spans="1:12" ht="15.75" customHeight="1">
      <c r="A526" s="1" t="s">
        <v>1746</v>
      </c>
      <c r="B526" s="2" t="s">
        <v>1688</v>
      </c>
      <c r="C526" s="2" t="s">
        <v>1689</v>
      </c>
      <c r="D526" s="2" t="s">
        <v>1363</v>
      </c>
      <c r="E526" s="2" t="s">
        <v>1690</v>
      </c>
      <c r="F526" s="2" t="s">
        <v>157</v>
      </c>
      <c r="G526" s="8" t="s">
        <v>1691</v>
      </c>
      <c r="H526" s="2" t="s">
        <v>1747</v>
      </c>
      <c r="I526" s="1" t="s">
        <v>143</v>
      </c>
      <c r="J526" s="1" t="s">
        <v>35</v>
      </c>
      <c r="K526" s="6" t="s">
        <v>40</v>
      </c>
      <c r="L526" s="1"/>
    </row>
    <row r="527" spans="1:12" ht="15.75" customHeight="1">
      <c r="A527" s="1" t="s">
        <v>1748</v>
      </c>
      <c r="B527" s="2" t="s">
        <v>1688</v>
      </c>
      <c r="C527" s="2" t="s">
        <v>1689</v>
      </c>
      <c r="D527" s="2" t="s">
        <v>1363</v>
      </c>
      <c r="E527" s="2" t="s">
        <v>1690</v>
      </c>
      <c r="F527" s="2" t="s">
        <v>157</v>
      </c>
      <c r="G527" s="8" t="s">
        <v>1691</v>
      </c>
      <c r="H527" s="2" t="s">
        <v>1749</v>
      </c>
      <c r="I527" s="1" t="s">
        <v>1432</v>
      </c>
      <c r="J527" s="1" t="s">
        <v>28</v>
      </c>
      <c r="K527" s="6" t="s">
        <v>40</v>
      </c>
      <c r="L527" s="1"/>
    </row>
    <row r="528" spans="1:12" ht="15.75" customHeight="1">
      <c r="A528" s="1" t="s">
        <v>1750</v>
      </c>
      <c r="B528" s="2" t="s">
        <v>1713</v>
      </c>
      <c r="C528" s="2" t="s">
        <v>1689</v>
      </c>
      <c r="D528" s="2" t="s">
        <v>1363</v>
      </c>
      <c r="E528" s="2" t="s">
        <v>1714</v>
      </c>
      <c r="F528" s="2" t="s">
        <v>157</v>
      </c>
      <c r="G528" s="8" t="s">
        <v>1715</v>
      </c>
      <c r="H528" s="2" t="s">
        <v>1751</v>
      </c>
      <c r="I528" s="1" t="s">
        <v>1432</v>
      </c>
      <c r="J528" s="1" t="s">
        <v>28</v>
      </c>
      <c r="K528" s="6" t="s">
        <v>40</v>
      </c>
      <c r="L528" s="1"/>
    </row>
    <row r="529" spans="1:12" ht="15.75" customHeight="1">
      <c r="A529" s="1" t="s">
        <v>1752</v>
      </c>
      <c r="B529" s="2" t="s">
        <v>1753</v>
      </c>
      <c r="C529" s="2" t="s">
        <v>1754</v>
      </c>
      <c r="D529" s="2" t="s">
        <v>1069</v>
      </c>
      <c r="E529" s="2" t="s">
        <v>1755</v>
      </c>
      <c r="F529" s="2" t="s">
        <v>140</v>
      </c>
      <c r="G529" s="8" t="s">
        <v>1756</v>
      </c>
      <c r="H529" s="2" t="s">
        <v>1757</v>
      </c>
      <c r="I529" s="1" t="s">
        <v>1758</v>
      </c>
      <c r="J529" s="1" t="s">
        <v>19</v>
      </c>
      <c r="K529" s="6" t="s">
        <v>40</v>
      </c>
      <c r="L529" s="1"/>
    </row>
    <row r="530" spans="1:12" ht="15.75" customHeight="1">
      <c r="A530" s="1" t="s">
        <v>1759</v>
      </c>
      <c r="B530" s="2" t="s">
        <v>1760</v>
      </c>
      <c r="C530" s="2" t="s">
        <v>1754</v>
      </c>
      <c r="D530" s="2" t="s">
        <v>1069</v>
      </c>
      <c r="E530" s="2" t="s">
        <v>1761</v>
      </c>
      <c r="F530" s="2" t="s">
        <v>46</v>
      </c>
      <c r="G530" s="2" t="s">
        <v>1762</v>
      </c>
      <c r="H530" s="2" t="s">
        <v>1763</v>
      </c>
      <c r="I530" s="1" t="s">
        <v>1758</v>
      </c>
      <c r="J530" s="1" t="s">
        <v>19</v>
      </c>
      <c r="K530" s="6" t="s">
        <v>40</v>
      </c>
      <c r="L530" s="6"/>
    </row>
    <row r="531" spans="1:12" ht="15.75" customHeight="1">
      <c r="A531" s="1" t="s">
        <v>1764</v>
      </c>
      <c r="B531" s="2" t="s">
        <v>1760</v>
      </c>
      <c r="C531" s="2" t="s">
        <v>1754</v>
      </c>
      <c r="D531" s="2" t="s">
        <v>1069</v>
      </c>
      <c r="E531" s="2" t="s">
        <v>1761</v>
      </c>
      <c r="F531" s="2" t="s">
        <v>46</v>
      </c>
      <c r="G531" s="2" t="s">
        <v>1762</v>
      </c>
      <c r="H531" s="2" t="s">
        <v>1765</v>
      </c>
      <c r="I531" s="1" t="s">
        <v>1766</v>
      </c>
      <c r="J531" s="1" t="s">
        <v>78</v>
      </c>
      <c r="K531" s="6" t="s">
        <v>40</v>
      </c>
      <c r="L531" s="1"/>
    </row>
    <row r="532" spans="1:12" ht="15.75" customHeight="1">
      <c r="A532" s="1" t="s">
        <v>1767</v>
      </c>
      <c r="B532" s="2" t="s">
        <v>1753</v>
      </c>
      <c r="C532" s="2" t="s">
        <v>1754</v>
      </c>
      <c r="D532" s="2" t="s">
        <v>1069</v>
      </c>
      <c r="E532" s="2" t="s">
        <v>1755</v>
      </c>
      <c r="F532" s="2" t="s">
        <v>140</v>
      </c>
      <c r="G532" s="2" t="s">
        <v>1756</v>
      </c>
      <c r="H532" s="2" t="s">
        <v>1768</v>
      </c>
      <c r="I532" s="1" t="s">
        <v>1769</v>
      </c>
      <c r="J532" s="1" t="s">
        <v>35</v>
      </c>
      <c r="K532" s="6" t="s">
        <v>40</v>
      </c>
      <c r="L532" s="1"/>
    </row>
    <row r="533" spans="1:12" ht="15.75" customHeight="1">
      <c r="A533" s="1" t="s">
        <v>1770</v>
      </c>
      <c r="B533" s="2" t="s">
        <v>1753</v>
      </c>
      <c r="C533" s="2" t="s">
        <v>1754</v>
      </c>
      <c r="D533" s="2" t="s">
        <v>1069</v>
      </c>
      <c r="E533" s="2" t="s">
        <v>1755</v>
      </c>
      <c r="F533" s="2" t="s">
        <v>140</v>
      </c>
      <c r="G533" s="2" t="s">
        <v>1756</v>
      </c>
      <c r="H533" s="4" t="s">
        <v>1771</v>
      </c>
      <c r="I533" s="1" t="s">
        <v>1766</v>
      </c>
      <c r="J533" s="1" t="s">
        <v>78</v>
      </c>
      <c r="K533" s="6" t="s">
        <v>144</v>
      </c>
      <c r="L533" s="20" t="s">
        <v>3877</v>
      </c>
    </row>
    <row r="534" spans="1:12" ht="15.75" customHeight="1">
      <c r="A534" s="1" t="s">
        <v>1772</v>
      </c>
      <c r="B534" s="2" t="s">
        <v>1760</v>
      </c>
      <c r="C534" s="2" t="s">
        <v>1754</v>
      </c>
      <c r="D534" s="2" t="s">
        <v>1069</v>
      </c>
      <c r="E534" s="2" t="s">
        <v>1761</v>
      </c>
      <c r="F534" s="2" t="s">
        <v>46</v>
      </c>
      <c r="G534" s="2" t="s">
        <v>1762</v>
      </c>
      <c r="H534" s="4" t="s">
        <v>1773</v>
      </c>
      <c r="I534" s="1" t="s">
        <v>1766</v>
      </c>
      <c r="J534" s="1" t="s">
        <v>78</v>
      </c>
      <c r="K534" s="6" t="s">
        <v>144</v>
      </c>
      <c r="L534" s="20" t="s">
        <v>3877</v>
      </c>
    </row>
    <row r="535" spans="1:12" ht="15.75" customHeight="1">
      <c r="A535" s="1" t="s">
        <v>1774</v>
      </c>
      <c r="B535" s="2" t="s">
        <v>1753</v>
      </c>
      <c r="C535" s="2" t="s">
        <v>1754</v>
      </c>
      <c r="D535" s="2" t="s">
        <v>1069</v>
      </c>
      <c r="E535" s="2" t="s">
        <v>1755</v>
      </c>
      <c r="F535" s="2" t="s">
        <v>140</v>
      </c>
      <c r="G535" s="2" t="s">
        <v>1756</v>
      </c>
      <c r="H535" s="4" t="s">
        <v>1775</v>
      </c>
      <c r="I535" s="1" t="s">
        <v>1769</v>
      </c>
      <c r="J535" s="1" t="s">
        <v>35</v>
      </c>
      <c r="K535" s="6" t="s">
        <v>40</v>
      </c>
      <c r="L535" s="1"/>
    </row>
    <row r="536" spans="1:12" ht="15.75" customHeight="1">
      <c r="A536" s="1" t="s">
        <v>1776</v>
      </c>
      <c r="B536" s="2" t="s">
        <v>1753</v>
      </c>
      <c r="C536" s="2" t="s">
        <v>1754</v>
      </c>
      <c r="D536" s="2" t="s">
        <v>1069</v>
      </c>
      <c r="E536" s="2" t="s">
        <v>1755</v>
      </c>
      <c r="F536" s="2" t="s">
        <v>140</v>
      </c>
      <c r="G536" s="2" t="s">
        <v>1756</v>
      </c>
      <c r="H536" s="4" t="s">
        <v>1777</v>
      </c>
      <c r="I536" s="1" t="s">
        <v>1758</v>
      </c>
      <c r="J536" s="1" t="s">
        <v>19</v>
      </c>
      <c r="K536" s="6" t="s">
        <v>40</v>
      </c>
      <c r="L536" s="1"/>
    </row>
    <row r="537" spans="1:12" ht="15.75" customHeight="1">
      <c r="A537" s="1" t="s">
        <v>1778</v>
      </c>
      <c r="B537" s="2" t="s">
        <v>1760</v>
      </c>
      <c r="C537" s="2" t="s">
        <v>1754</v>
      </c>
      <c r="D537" s="2" t="s">
        <v>1069</v>
      </c>
      <c r="E537" s="2" t="s">
        <v>1761</v>
      </c>
      <c r="F537" s="2" t="s">
        <v>46</v>
      </c>
      <c r="G537" s="2" t="s">
        <v>1762</v>
      </c>
      <c r="H537" s="4" t="s">
        <v>1779</v>
      </c>
      <c r="I537" s="1" t="s">
        <v>1766</v>
      </c>
      <c r="J537" s="1" t="s">
        <v>78</v>
      </c>
      <c r="K537" s="6" t="s">
        <v>144</v>
      </c>
      <c r="L537" s="20" t="s">
        <v>3877</v>
      </c>
    </row>
    <row r="538" spans="1:12" ht="15.75" customHeight="1">
      <c r="A538" s="1" t="s">
        <v>1780</v>
      </c>
      <c r="B538" s="2" t="s">
        <v>1760</v>
      </c>
      <c r="C538" s="2" t="s">
        <v>1754</v>
      </c>
      <c r="D538" s="2" t="s">
        <v>1069</v>
      </c>
      <c r="E538" s="2" t="s">
        <v>1761</v>
      </c>
      <c r="F538" s="2" t="s">
        <v>46</v>
      </c>
      <c r="G538" s="2" t="s">
        <v>1762</v>
      </c>
      <c r="H538" s="4" t="s">
        <v>1781</v>
      </c>
      <c r="I538" s="1" t="s">
        <v>1769</v>
      </c>
      <c r="J538" s="1" t="s">
        <v>35</v>
      </c>
      <c r="K538" s="6" t="s">
        <v>40</v>
      </c>
      <c r="L538" s="1"/>
    </row>
    <row r="539" spans="1:12" ht="15.75" customHeight="1">
      <c r="A539" s="1" t="s">
        <v>1782</v>
      </c>
      <c r="B539" s="2" t="s">
        <v>1760</v>
      </c>
      <c r="C539" s="2" t="s">
        <v>1754</v>
      </c>
      <c r="D539" s="2" t="s">
        <v>1069</v>
      </c>
      <c r="E539" s="2" t="s">
        <v>1761</v>
      </c>
      <c r="F539" s="2" t="s">
        <v>46</v>
      </c>
      <c r="G539" s="2" t="s">
        <v>1762</v>
      </c>
      <c r="H539" s="4" t="s">
        <v>1783</v>
      </c>
      <c r="I539" s="1" t="s">
        <v>1766</v>
      </c>
      <c r="J539" s="1" t="s">
        <v>78</v>
      </c>
      <c r="K539" s="6" t="s">
        <v>144</v>
      </c>
      <c r="L539" s="20" t="s">
        <v>3877</v>
      </c>
    </row>
    <row r="540" spans="1:12" ht="15.75" customHeight="1">
      <c r="A540" s="1" t="s">
        <v>1784</v>
      </c>
      <c r="B540" s="2" t="s">
        <v>1785</v>
      </c>
      <c r="C540" s="2" t="s">
        <v>1754</v>
      </c>
      <c r="D540" s="2" t="s">
        <v>1069</v>
      </c>
      <c r="E540" s="2" t="s">
        <v>1786</v>
      </c>
      <c r="F540" s="2" t="s">
        <v>264</v>
      </c>
      <c r="G540" s="2" t="s">
        <v>1787</v>
      </c>
      <c r="H540" s="4" t="s">
        <v>1788</v>
      </c>
      <c r="I540" s="1" t="s">
        <v>1766</v>
      </c>
      <c r="J540" s="1" t="s">
        <v>78</v>
      </c>
      <c r="K540" s="6" t="s">
        <v>40</v>
      </c>
      <c r="L540" s="1"/>
    </row>
    <row r="541" spans="1:12" ht="15.75" customHeight="1">
      <c r="A541" s="1" t="s">
        <v>1789</v>
      </c>
      <c r="B541" s="2" t="s">
        <v>1760</v>
      </c>
      <c r="C541" s="2" t="s">
        <v>1754</v>
      </c>
      <c r="D541" s="2" t="s">
        <v>1069</v>
      </c>
      <c r="E541" s="2" t="s">
        <v>1761</v>
      </c>
      <c r="F541" s="2" t="s">
        <v>46</v>
      </c>
      <c r="G541" s="2" t="s">
        <v>1762</v>
      </c>
      <c r="H541" s="4" t="s">
        <v>1790</v>
      </c>
      <c r="I541" s="1" t="s">
        <v>1766</v>
      </c>
      <c r="J541" s="1" t="s">
        <v>78</v>
      </c>
      <c r="K541" s="6" t="s">
        <v>144</v>
      </c>
      <c r="L541" s="6" t="s">
        <v>1791</v>
      </c>
    </row>
    <row r="542" spans="1:12" ht="15.75" customHeight="1">
      <c r="A542" s="1" t="s">
        <v>1792</v>
      </c>
      <c r="B542" s="2" t="s">
        <v>1760</v>
      </c>
      <c r="C542" s="2" t="s">
        <v>1754</v>
      </c>
      <c r="D542" s="2" t="s">
        <v>1069</v>
      </c>
      <c r="E542" s="2" t="s">
        <v>1761</v>
      </c>
      <c r="F542" s="2" t="s">
        <v>46</v>
      </c>
      <c r="G542" s="2" t="s">
        <v>1762</v>
      </c>
      <c r="H542" s="4" t="s">
        <v>1793</v>
      </c>
      <c r="I542" s="1" t="s">
        <v>1766</v>
      </c>
      <c r="J542" s="1" t="s">
        <v>78</v>
      </c>
      <c r="K542" s="6" t="s">
        <v>40</v>
      </c>
      <c r="L542" s="1"/>
    </row>
    <row r="543" spans="1:12" ht="15.75" customHeight="1">
      <c r="A543" s="1" t="s">
        <v>1794</v>
      </c>
      <c r="B543" s="2" t="s">
        <v>1760</v>
      </c>
      <c r="C543" s="2" t="s">
        <v>1754</v>
      </c>
      <c r="D543" s="2" t="s">
        <v>1069</v>
      </c>
      <c r="E543" s="2" t="s">
        <v>1761</v>
      </c>
      <c r="F543" s="2" t="s">
        <v>46</v>
      </c>
      <c r="G543" s="2" t="s">
        <v>1762</v>
      </c>
      <c r="H543" s="4" t="s">
        <v>1795</v>
      </c>
      <c r="I543" s="1" t="s">
        <v>1766</v>
      </c>
      <c r="J543" s="1" t="s">
        <v>78</v>
      </c>
      <c r="K543" s="6" t="s">
        <v>40</v>
      </c>
      <c r="L543" s="1"/>
    </row>
    <row r="544" spans="1:12" ht="15.75" customHeight="1">
      <c r="A544" s="1" t="s">
        <v>1796</v>
      </c>
      <c r="B544" s="2" t="s">
        <v>1760</v>
      </c>
      <c r="C544" s="2" t="s">
        <v>1754</v>
      </c>
      <c r="D544" s="2" t="s">
        <v>1069</v>
      </c>
      <c r="E544" s="2" t="s">
        <v>1761</v>
      </c>
      <c r="F544" s="2" t="s">
        <v>46</v>
      </c>
      <c r="G544" s="2" t="s">
        <v>1762</v>
      </c>
      <c r="H544" s="4" t="s">
        <v>1797</v>
      </c>
      <c r="I544" s="1" t="s">
        <v>1766</v>
      </c>
      <c r="J544" s="1" t="s">
        <v>78</v>
      </c>
      <c r="K544" s="6" t="s">
        <v>144</v>
      </c>
      <c r="L544" s="20" t="s">
        <v>3877</v>
      </c>
    </row>
    <row r="545" spans="1:12" ht="15.75" customHeight="1">
      <c r="A545" s="1" t="s">
        <v>1798</v>
      </c>
      <c r="B545" s="2" t="s">
        <v>1785</v>
      </c>
      <c r="C545" s="2" t="s">
        <v>1754</v>
      </c>
      <c r="D545" s="2" t="s">
        <v>1069</v>
      </c>
      <c r="E545" s="2" t="s">
        <v>1786</v>
      </c>
      <c r="F545" s="2" t="s">
        <v>264</v>
      </c>
      <c r="G545" s="2" t="s">
        <v>1787</v>
      </c>
      <c r="H545" s="4" t="s">
        <v>1799</v>
      </c>
      <c r="I545" s="1" t="s">
        <v>1766</v>
      </c>
      <c r="J545" s="1" t="s">
        <v>78</v>
      </c>
      <c r="K545" s="6" t="s">
        <v>40</v>
      </c>
      <c r="L545" s="1"/>
    </row>
    <row r="546" spans="1:12" ht="15.75" customHeight="1">
      <c r="A546" s="1" t="s">
        <v>1800</v>
      </c>
      <c r="B546" s="2" t="s">
        <v>1760</v>
      </c>
      <c r="C546" s="2" t="s">
        <v>1754</v>
      </c>
      <c r="D546" s="2" t="s">
        <v>1069</v>
      </c>
      <c r="E546" s="2" t="s">
        <v>1761</v>
      </c>
      <c r="F546" s="2" t="s">
        <v>46</v>
      </c>
      <c r="G546" s="2" t="s">
        <v>1762</v>
      </c>
      <c r="H546" s="4" t="s">
        <v>1801</v>
      </c>
      <c r="I546" s="1" t="s">
        <v>1758</v>
      </c>
      <c r="J546" s="1" t="s">
        <v>19</v>
      </c>
      <c r="K546" s="6" t="s">
        <v>144</v>
      </c>
      <c r="L546" s="20" t="s">
        <v>3877</v>
      </c>
    </row>
    <row r="547" spans="1:12" ht="15.75" customHeight="1">
      <c r="A547" s="1" t="s">
        <v>1802</v>
      </c>
      <c r="B547" s="2" t="s">
        <v>1753</v>
      </c>
      <c r="C547" s="2" t="s">
        <v>1754</v>
      </c>
      <c r="D547" s="2" t="s">
        <v>1069</v>
      </c>
      <c r="E547" s="2" t="s">
        <v>1755</v>
      </c>
      <c r="F547" s="2" t="s">
        <v>140</v>
      </c>
      <c r="G547" s="2" t="s">
        <v>1756</v>
      </c>
      <c r="H547" s="4" t="s">
        <v>1803</v>
      </c>
      <c r="I547" s="1" t="s">
        <v>1758</v>
      </c>
      <c r="J547" s="1" t="s">
        <v>19</v>
      </c>
      <c r="K547" s="6" t="s">
        <v>40</v>
      </c>
      <c r="L547" s="1"/>
    </row>
    <row r="548" spans="1:12" ht="15.75" customHeight="1">
      <c r="A548" s="1" t="s">
        <v>1804</v>
      </c>
      <c r="B548" s="2" t="s">
        <v>1760</v>
      </c>
      <c r="C548" s="2" t="s">
        <v>1754</v>
      </c>
      <c r="D548" s="2" t="s">
        <v>1069</v>
      </c>
      <c r="E548" s="2" t="s">
        <v>1761</v>
      </c>
      <c r="F548" s="2" t="s">
        <v>46</v>
      </c>
      <c r="G548" s="2" t="s">
        <v>1762</v>
      </c>
      <c r="H548" s="4" t="s">
        <v>1805</v>
      </c>
      <c r="I548" s="1" t="s">
        <v>1766</v>
      </c>
      <c r="J548" s="1" t="s">
        <v>78</v>
      </c>
      <c r="K548" s="6" t="s">
        <v>40</v>
      </c>
      <c r="L548" s="1"/>
    </row>
    <row r="549" spans="1:12" ht="15.75" customHeight="1">
      <c r="A549" s="1" t="s">
        <v>1806</v>
      </c>
      <c r="B549" s="2" t="s">
        <v>1753</v>
      </c>
      <c r="C549" s="2" t="s">
        <v>1754</v>
      </c>
      <c r="D549" s="2" t="s">
        <v>1069</v>
      </c>
      <c r="E549" s="2" t="s">
        <v>1755</v>
      </c>
      <c r="F549" s="2" t="s">
        <v>140</v>
      </c>
      <c r="G549" s="2" t="s">
        <v>1756</v>
      </c>
      <c r="H549" s="4" t="s">
        <v>1807</v>
      </c>
      <c r="I549" s="1" t="s">
        <v>1766</v>
      </c>
      <c r="J549" s="1" t="s">
        <v>78</v>
      </c>
      <c r="K549" s="6" t="s">
        <v>40</v>
      </c>
      <c r="L549" s="1"/>
    </row>
    <row r="550" spans="1:12" ht="15.75" customHeight="1">
      <c r="A550" s="1" t="s">
        <v>1808</v>
      </c>
      <c r="B550" s="2" t="s">
        <v>1753</v>
      </c>
      <c r="C550" s="2" t="s">
        <v>1754</v>
      </c>
      <c r="D550" s="2" t="s">
        <v>1069</v>
      </c>
      <c r="E550" s="2" t="s">
        <v>1755</v>
      </c>
      <c r="F550" s="2" t="s">
        <v>140</v>
      </c>
      <c r="G550" s="2" t="s">
        <v>1756</v>
      </c>
      <c r="H550" s="4" t="s">
        <v>1809</v>
      </c>
      <c r="I550" s="1" t="s">
        <v>1758</v>
      </c>
      <c r="J550" s="1" t="s">
        <v>19</v>
      </c>
      <c r="K550" s="6" t="s">
        <v>40</v>
      </c>
      <c r="L550" s="1"/>
    </row>
    <row r="551" spans="1:12" ht="15.75" customHeight="1">
      <c r="A551" s="1" t="s">
        <v>1810</v>
      </c>
      <c r="B551" s="2" t="s">
        <v>1811</v>
      </c>
      <c r="C551" s="2" t="s">
        <v>1812</v>
      </c>
      <c r="D551" s="2" t="s">
        <v>13</v>
      </c>
      <c r="E551" s="2" t="s">
        <v>1813</v>
      </c>
      <c r="F551" s="2" t="s">
        <v>157</v>
      </c>
      <c r="G551" s="2" t="s">
        <v>1814</v>
      </c>
      <c r="H551" s="4" t="s">
        <v>1815</v>
      </c>
      <c r="I551" s="1" t="s">
        <v>1816</v>
      </c>
      <c r="J551" s="1" t="s">
        <v>50</v>
      </c>
      <c r="K551" s="6" t="s">
        <v>40</v>
      </c>
      <c r="L551" s="1"/>
    </row>
    <row r="552" spans="1:12" ht="15.75" customHeight="1">
      <c r="A552" s="1" t="s">
        <v>1817</v>
      </c>
      <c r="B552" s="2" t="s">
        <v>1811</v>
      </c>
      <c r="C552" s="2" t="s">
        <v>1812</v>
      </c>
      <c r="D552" s="2" t="s">
        <v>13</v>
      </c>
      <c r="E552" s="2" t="s">
        <v>1813</v>
      </c>
      <c r="F552" s="2" t="s">
        <v>157</v>
      </c>
      <c r="G552" s="2" t="s">
        <v>1814</v>
      </c>
      <c r="H552" s="2" t="s">
        <v>1818</v>
      </c>
      <c r="I552" s="1" t="s">
        <v>77</v>
      </c>
      <c r="J552" s="1" t="s">
        <v>78</v>
      </c>
      <c r="K552" s="6" t="s">
        <v>40</v>
      </c>
      <c r="L552" s="6"/>
    </row>
    <row r="553" spans="1:12" ht="15.75" customHeight="1">
      <c r="A553" s="1" t="s">
        <v>1819</v>
      </c>
      <c r="B553" s="2" t="s">
        <v>1820</v>
      </c>
      <c r="C553" s="2" t="s">
        <v>1812</v>
      </c>
      <c r="D553" s="2" t="s">
        <v>13</v>
      </c>
      <c r="E553" s="2" t="s">
        <v>1821</v>
      </c>
      <c r="F553" s="2" t="s">
        <v>180</v>
      </c>
      <c r="G553" s="2" t="s">
        <v>1822</v>
      </c>
      <c r="H553" s="2" t="s">
        <v>1823</v>
      </c>
      <c r="I553" s="1" t="s">
        <v>34</v>
      </c>
      <c r="J553" s="1" t="s">
        <v>35</v>
      </c>
      <c r="K553" s="6" t="s">
        <v>40</v>
      </c>
      <c r="L553" s="1"/>
    </row>
    <row r="554" spans="1:12" ht="15.75" customHeight="1">
      <c r="A554" s="1" t="s">
        <v>1824</v>
      </c>
      <c r="B554" s="2" t="s">
        <v>1825</v>
      </c>
      <c r="C554" s="2" t="s">
        <v>1812</v>
      </c>
      <c r="D554" s="2" t="s">
        <v>13</v>
      </c>
      <c r="E554" s="2" t="s">
        <v>1826</v>
      </c>
      <c r="F554" s="2" t="s">
        <v>140</v>
      </c>
      <c r="G554" s="2" t="s">
        <v>1827</v>
      </c>
      <c r="H554" s="2" t="s">
        <v>1828</v>
      </c>
      <c r="I554" s="1" t="s">
        <v>183</v>
      </c>
      <c r="J554" s="1" t="s">
        <v>50</v>
      </c>
      <c r="K554" s="6" t="s">
        <v>40</v>
      </c>
      <c r="L554" s="1"/>
    </row>
    <row r="555" spans="1:12" ht="15.75" customHeight="1">
      <c r="A555" s="1" t="s">
        <v>1829</v>
      </c>
      <c r="B555" s="2" t="s">
        <v>1811</v>
      </c>
      <c r="C555" s="2" t="s">
        <v>1812</v>
      </c>
      <c r="D555" s="2" t="s">
        <v>13</v>
      </c>
      <c r="E555" s="2" t="s">
        <v>1813</v>
      </c>
      <c r="F555" s="2" t="s">
        <v>157</v>
      </c>
      <c r="G555" s="2" t="s">
        <v>1814</v>
      </c>
      <c r="H555" s="4" t="s">
        <v>1830</v>
      </c>
      <c r="I555" s="1" t="s">
        <v>77</v>
      </c>
      <c r="J555" s="1" t="s">
        <v>78</v>
      </c>
      <c r="K555" s="6" t="s">
        <v>40</v>
      </c>
      <c r="L555" s="1"/>
    </row>
    <row r="556" spans="1:12" ht="15.75" customHeight="1">
      <c r="A556" s="1" t="s">
        <v>1831</v>
      </c>
      <c r="B556" s="2" t="s">
        <v>1820</v>
      </c>
      <c r="C556" s="2" t="s">
        <v>1812</v>
      </c>
      <c r="D556" s="2" t="s">
        <v>13</v>
      </c>
      <c r="E556" s="2" t="s">
        <v>1821</v>
      </c>
      <c r="F556" s="2" t="s">
        <v>180</v>
      </c>
      <c r="G556" s="2" t="s">
        <v>1822</v>
      </c>
      <c r="H556" s="2" t="s">
        <v>1832</v>
      </c>
      <c r="I556" s="1" t="s">
        <v>34</v>
      </c>
      <c r="J556" s="1" t="s">
        <v>35</v>
      </c>
      <c r="K556" s="6" t="s">
        <v>40</v>
      </c>
      <c r="L556" s="1"/>
    </row>
    <row r="557" spans="1:12" ht="15.75" customHeight="1">
      <c r="A557" s="1" t="s">
        <v>1833</v>
      </c>
      <c r="B557" s="2" t="s">
        <v>1834</v>
      </c>
      <c r="C557" s="2" t="s">
        <v>1835</v>
      </c>
      <c r="D557" s="2" t="s">
        <v>112</v>
      </c>
      <c r="E557" s="2" t="s">
        <v>1836</v>
      </c>
      <c r="F557" s="2" t="s">
        <v>24</v>
      </c>
      <c r="G557" s="2" t="s">
        <v>1837</v>
      </c>
      <c r="H557" s="2" t="s">
        <v>1838</v>
      </c>
      <c r="I557" s="1" t="s">
        <v>351</v>
      </c>
      <c r="J557" s="1" t="s">
        <v>28</v>
      </c>
      <c r="K557" s="6" t="s">
        <v>40</v>
      </c>
      <c r="L557" s="1"/>
    </row>
    <row r="558" spans="1:12" ht="15.75" customHeight="1">
      <c r="A558" s="1" t="s">
        <v>1839</v>
      </c>
      <c r="B558" s="2" t="s">
        <v>1840</v>
      </c>
      <c r="C558" s="2" t="s">
        <v>1835</v>
      </c>
      <c r="D558" s="2" t="s">
        <v>112</v>
      </c>
      <c r="E558" s="2" t="s">
        <v>1841</v>
      </c>
      <c r="F558" s="2" t="s">
        <v>126</v>
      </c>
      <c r="G558" s="2" t="s">
        <v>1842</v>
      </c>
      <c r="H558" s="2" t="s">
        <v>1843</v>
      </c>
      <c r="I558" s="1" t="s">
        <v>1844</v>
      </c>
      <c r="J558" s="1" t="s">
        <v>50</v>
      </c>
      <c r="K558" s="6" t="s">
        <v>40</v>
      </c>
      <c r="L558" s="1"/>
    </row>
    <row r="559" spans="1:12" ht="15.75" customHeight="1">
      <c r="A559" s="1" t="s">
        <v>1845</v>
      </c>
      <c r="B559" s="2" t="s">
        <v>1834</v>
      </c>
      <c r="C559" s="2" t="s">
        <v>1835</v>
      </c>
      <c r="D559" s="2" t="s">
        <v>112</v>
      </c>
      <c r="E559" s="2" t="s">
        <v>1836</v>
      </c>
      <c r="F559" s="2" t="s">
        <v>24</v>
      </c>
      <c r="G559" s="2" t="s">
        <v>1837</v>
      </c>
      <c r="H559" s="2" t="s">
        <v>1846</v>
      </c>
      <c r="I559" s="1" t="s">
        <v>34</v>
      </c>
      <c r="J559" s="1" t="s">
        <v>35</v>
      </c>
      <c r="K559" s="6" t="s">
        <v>144</v>
      </c>
      <c r="L559" s="6" t="s">
        <v>1847</v>
      </c>
    </row>
    <row r="560" spans="1:12" ht="15.75" customHeight="1">
      <c r="A560" s="1" t="s">
        <v>1848</v>
      </c>
      <c r="B560" s="2" t="s">
        <v>1849</v>
      </c>
      <c r="C560" s="2" t="s">
        <v>1850</v>
      </c>
      <c r="D560" s="2" t="s">
        <v>300</v>
      </c>
      <c r="E560" s="2" t="s">
        <v>1851</v>
      </c>
      <c r="F560" s="2" t="s">
        <v>120</v>
      </c>
      <c r="G560" s="2" t="s">
        <v>1852</v>
      </c>
      <c r="H560" s="2" t="s">
        <v>1853</v>
      </c>
      <c r="I560" s="1" t="s">
        <v>29</v>
      </c>
      <c r="J560" s="1" t="s">
        <v>35</v>
      </c>
      <c r="K560" s="6" t="s">
        <v>40</v>
      </c>
      <c r="L560" s="1"/>
    </row>
    <row r="561" spans="1:12" ht="15.75" customHeight="1">
      <c r="A561" s="1" t="s">
        <v>1854</v>
      </c>
      <c r="B561" s="2" t="s">
        <v>1855</v>
      </c>
      <c r="C561" s="2" t="s">
        <v>1850</v>
      </c>
      <c r="D561" s="2" t="s">
        <v>300</v>
      </c>
      <c r="E561" s="2" t="s">
        <v>1856</v>
      </c>
      <c r="F561" s="2" t="s">
        <v>140</v>
      </c>
      <c r="G561" s="2" t="s">
        <v>1857</v>
      </c>
      <c r="H561" s="2" t="s">
        <v>1858</v>
      </c>
      <c r="I561" s="1" t="s">
        <v>1859</v>
      </c>
      <c r="J561" s="1" t="s">
        <v>35</v>
      </c>
      <c r="K561" s="6" t="s">
        <v>40</v>
      </c>
      <c r="L561" s="1"/>
    </row>
    <row r="562" spans="1:12" ht="15.75" customHeight="1">
      <c r="A562" s="1" t="s">
        <v>1860</v>
      </c>
      <c r="B562" s="2" t="s">
        <v>1861</v>
      </c>
      <c r="C562" s="2" t="s">
        <v>1850</v>
      </c>
      <c r="D562" s="2" t="s">
        <v>300</v>
      </c>
      <c r="E562" s="2" t="s">
        <v>1862</v>
      </c>
      <c r="F562" s="2" t="s">
        <v>46</v>
      </c>
      <c r="G562" s="2" t="s">
        <v>1863</v>
      </c>
      <c r="H562" s="2" t="s">
        <v>1864</v>
      </c>
      <c r="I562" s="1" t="s">
        <v>1758</v>
      </c>
      <c r="J562" s="1" t="s">
        <v>19</v>
      </c>
      <c r="K562" s="6" t="s">
        <v>40</v>
      </c>
      <c r="L562" s="1"/>
    </row>
    <row r="563" spans="1:12" ht="15.75" customHeight="1">
      <c r="A563" s="1" t="s">
        <v>1865</v>
      </c>
      <c r="B563" s="2" t="s">
        <v>1855</v>
      </c>
      <c r="C563" s="2" t="s">
        <v>1850</v>
      </c>
      <c r="D563" s="2" t="s">
        <v>300</v>
      </c>
      <c r="E563" s="2" t="s">
        <v>1856</v>
      </c>
      <c r="F563" s="2" t="s">
        <v>140</v>
      </c>
      <c r="G563" s="2" t="s">
        <v>1857</v>
      </c>
      <c r="H563" s="2" t="s">
        <v>1866</v>
      </c>
      <c r="I563" s="1" t="s">
        <v>1867</v>
      </c>
      <c r="J563" s="1" t="s">
        <v>28</v>
      </c>
      <c r="K563" s="6" t="s">
        <v>40</v>
      </c>
      <c r="L563" s="1"/>
    </row>
    <row r="564" spans="1:12" ht="15.75" customHeight="1">
      <c r="A564" s="1" t="s">
        <v>1868</v>
      </c>
      <c r="B564" s="2" t="s">
        <v>1855</v>
      </c>
      <c r="C564" s="2" t="s">
        <v>1850</v>
      </c>
      <c r="D564" s="2" t="s">
        <v>300</v>
      </c>
      <c r="E564" s="2" t="s">
        <v>1856</v>
      </c>
      <c r="F564" s="2" t="s">
        <v>140</v>
      </c>
      <c r="G564" s="2" t="s">
        <v>1857</v>
      </c>
      <c r="H564" s="2" t="s">
        <v>1869</v>
      </c>
      <c r="I564" s="1" t="s">
        <v>1859</v>
      </c>
      <c r="J564" s="1" t="s">
        <v>35</v>
      </c>
      <c r="K564" s="6" t="s">
        <v>40</v>
      </c>
      <c r="L564" s="1"/>
    </row>
    <row r="565" spans="1:12" ht="15.75" customHeight="1">
      <c r="A565" s="1" t="s">
        <v>1870</v>
      </c>
      <c r="B565" s="2" t="s">
        <v>1849</v>
      </c>
      <c r="C565" s="2" t="s">
        <v>1850</v>
      </c>
      <c r="D565" s="2" t="s">
        <v>300</v>
      </c>
      <c r="E565" s="2" t="s">
        <v>1851</v>
      </c>
      <c r="F565" s="2" t="s">
        <v>120</v>
      </c>
      <c r="G565" s="2" t="s">
        <v>1852</v>
      </c>
      <c r="H565" s="2" t="s">
        <v>1871</v>
      </c>
      <c r="I565" s="1" t="s">
        <v>10</v>
      </c>
      <c r="J565" s="1" t="s">
        <v>78</v>
      </c>
      <c r="K565" s="6" t="s">
        <v>40</v>
      </c>
      <c r="L565" s="1"/>
    </row>
    <row r="566" spans="1:12" ht="15.75" customHeight="1">
      <c r="A566" s="1" t="s">
        <v>1872</v>
      </c>
      <c r="B566" s="2" t="s">
        <v>1861</v>
      </c>
      <c r="C566" s="2" t="s">
        <v>1850</v>
      </c>
      <c r="D566" s="2" t="s">
        <v>300</v>
      </c>
      <c r="E566" s="2" t="s">
        <v>1862</v>
      </c>
      <c r="F566" s="2" t="s">
        <v>46</v>
      </c>
      <c r="G566" s="2" t="s">
        <v>1863</v>
      </c>
      <c r="H566" s="2" t="s">
        <v>1873</v>
      </c>
      <c r="I566" s="1" t="s">
        <v>1758</v>
      </c>
      <c r="J566" s="1" t="s">
        <v>19</v>
      </c>
      <c r="K566" s="6" t="s">
        <v>40</v>
      </c>
      <c r="L566" s="1"/>
    </row>
    <row r="567" spans="1:12" ht="15.75" customHeight="1">
      <c r="A567" s="1" t="s">
        <v>1874</v>
      </c>
      <c r="B567" s="2" t="s">
        <v>1849</v>
      </c>
      <c r="C567" s="2" t="s">
        <v>1850</v>
      </c>
      <c r="D567" s="2" t="s">
        <v>300</v>
      </c>
      <c r="E567" s="2" t="s">
        <v>1851</v>
      </c>
      <c r="F567" s="2" t="s">
        <v>120</v>
      </c>
      <c r="G567" s="2" t="s">
        <v>1852</v>
      </c>
      <c r="H567" s="2" t="s">
        <v>1875</v>
      </c>
      <c r="I567" s="1" t="s">
        <v>21</v>
      </c>
      <c r="J567" s="1" t="s">
        <v>19</v>
      </c>
      <c r="K567" s="6" t="s">
        <v>40</v>
      </c>
      <c r="L567" s="1"/>
    </row>
    <row r="568" spans="1:12" ht="15.75" customHeight="1">
      <c r="A568" s="1" t="s">
        <v>1876</v>
      </c>
      <c r="B568" s="2" t="s">
        <v>1855</v>
      </c>
      <c r="C568" s="2" t="s">
        <v>1850</v>
      </c>
      <c r="D568" s="2" t="s">
        <v>300</v>
      </c>
      <c r="E568" s="2" t="s">
        <v>1856</v>
      </c>
      <c r="F568" s="2" t="s">
        <v>140</v>
      </c>
      <c r="G568" s="2" t="s">
        <v>1857</v>
      </c>
      <c r="H568" s="2" t="s">
        <v>1877</v>
      </c>
      <c r="I568" s="1" t="s">
        <v>1878</v>
      </c>
      <c r="J568" s="1" t="s">
        <v>78</v>
      </c>
      <c r="K568" s="6" t="s">
        <v>40</v>
      </c>
      <c r="L568" s="1"/>
    </row>
    <row r="569" spans="1:12" ht="15.75" customHeight="1">
      <c r="A569" s="1" t="s">
        <v>1879</v>
      </c>
      <c r="B569" s="2" t="s">
        <v>1849</v>
      </c>
      <c r="C569" s="2" t="s">
        <v>1850</v>
      </c>
      <c r="D569" s="2" t="s">
        <v>300</v>
      </c>
      <c r="E569" s="2" t="s">
        <v>1851</v>
      </c>
      <c r="F569" s="2" t="s">
        <v>120</v>
      </c>
      <c r="G569" s="2" t="s">
        <v>1852</v>
      </c>
      <c r="H569" s="2" t="s">
        <v>1880</v>
      </c>
      <c r="I569" s="1" t="s">
        <v>29</v>
      </c>
      <c r="J569" s="1" t="s">
        <v>35</v>
      </c>
      <c r="K569" s="6" t="s">
        <v>40</v>
      </c>
      <c r="L569" s="1"/>
    </row>
    <row r="570" spans="1:12" ht="15.75" customHeight="1">
      <c r="A570" s="1" t="s">
        <v>1881</v>
      </c>
      <c r="B570" s="2" t="s">
        <v>1849</v>
      </c>
      <c r="C570" s="2" t="s">
        <v>1850</v>
      </c>
      <c r="D570" s="2" t="s">
        <v>300</v>
      </c>
      <c r="E570" s="2" t="s">
        <v>1851</v>
      </c>
      <c r="F570" s="2" t="s">
        <v>120</v>
      </c>
      <c r="G570" s="2" t="s">
        <v>1852</v>
      </c>
      <c r="H570" s="2" t="s">
        <v>1882</v>
      </c>
      <c r="I570" s="1" t="s">
        <v>21</v>
      </c>
      <c r="J570" s="1" t="s">
        <v>19</v>
      </c>
      <c r="K570" s="6" t="s">
        <v>40</v>
      </c>
      <c r="L570" s="1"/>
    </row>
    <row r="571" spans="1:12" ht="15.75" customHeight="1">
      <c r="A571" s="1" t="s">
        <v>1883</v>
      </c>
      <c r="B571" s="2" t="s">
        <v>1855</v>
      </c>
      <c r="C571" s="2" t="s">
        <v>1850</v>
      </c>
      <c r="D571" s="2" t="s">
        <v>300</v>
      </c>
      <c r="E571" s="2" t="s">
        <v>1856</v>
      </c>
      <c r="F571" s="2" t="s">
        <v>140</v>
      </c>
      <c r="G571" s="2" t="s">
        <v>1857</v>
      </c>
      <c r="H571" s="2" t="s">
        <v>1884</v>
      </c>
      <c r="I571" s="1" t="s">
        <v>1867</v>
      </c>
      <c r="J571" s="1" t="s">
        <v>28</v>
      </c>
      <c r="K571" s="6" t="s">
        <v>40</v>
      </c>
      <c r="L571" s="1"/>
    </row>
    <row r="572" spans="1:12" ht="15.75" customHeight="1">
      <c r="A572" s="1" t="s">
        <v>1885</v>
      </c>
      <c r="B572" s="2" t="s">
        <v>1861</v>
      </c>
      <c r="C572" s="2" t="s">
        <v>1850</v>
      </c>
      <c r="D572" s="2" t="s">
        <v>300</v>
      </c>
      <c r="E572" s="2" t="s">
        <v>1862</v>
      </c>
      <c r="F572" s="2" t="s">
        <v>46</v>
      </c>
      <c r="G572" s="2" t="s">
        <v>1863</v>
      </c>
      <c r="H572" s="2" t="s">
        <v>1886</v>
      </c>
      <c r="I572" s="1" t="s">
        <v>1791</v>
      </c>
      <c r="J572" s="1" t="s">
        <v>28</v>
      </c>
      <c r="K572" s="6" t="s">
        <v>40</v>
      </c>
      <c r="L572" s="1"/>
    </row>
    <row r="573" spans="1:12" ht="15.75" customHeight="1">
      <c r="A573" s="1" t="s">
        <v>1887</v>
      </c>
      <c r="B573" s="2" t="s">
        <v>1888</v>
      </c>
      <c r="C573" s="2" t="s">
        <v>1850</v>
      </c>
      <c r="D573" s="2" t="s">
        <v>300</v>
      </c>
      <c r="E573" s="2" t="s">
        <v>1889</v>
      </c>
      <c r="F573" s="2" t="s">
        <v>46</v>
      </c>
      <c r="G573" s="2" t="s">
        <v>1890</v>
      </c>
      <c r="H573" s="2" t="s">
        <v>1891</v>
      </c>
      <c r="I573" s="1" t="s">
        <v>21</v>
      </c>
      <c r="J573" s="1" t="s">
        <v>19</v>
      </c>
      <c r="K573" s="6" t="s">
        <v>40</v>
      </c>
      <c r="L573" s="1"/>
    </row>
    <row r="574" spans="1:12" ht="15.75" customHeight="1">
      <c r="A574" s="1" t="s">
        <v>1892</v>
      </c>
      <c r="B574" s="2" t="s">
        <v>1893</v>
      </c>
      <c r="C574" s="2" t="s">
        <v>1850</v>
      </c>
      <c r="D574" s="2" t="s">
        <v>300</v>
      </c>
      <c r="E574" s="2" t="s">
        <v>1894</v>
      </c>
      <c r="F574" s="2" t="s">
        <v>120</v>
      </c>
      <c r="G574" s="2" t="s">
        <v>1895</v>
      </c>
      <c r="H574" s="2" t="s">
        <v>1896</v>
      </c>
      <c r="I574" s="1" t="s">
        <v>21</v>
      </c>
      <c r="J574" s="1" t="s">
        <v>19</v>
      </c>
      <c r="K574" s="6" t="s">
        <v>40</v>
      </c>
      <c r="L574" s="1"/>
    </row>
    <row r="575" spans="1:12" ht="15.75" customHeight="1">
      <c r="A575" s="1" t="s">
        <v>1897</v>
      </c>
      <c r="B575" s="2" t="s">
        <v>1861</v>
      </c>
      <c r="C575" s="2" t="s">
        <v>1850</v>
      </c>
      <c r="D575" s="2" t="s">
        <v>300</v>
      </c>
      <c r="E575" s="2" t="s">
        <v>1862</v>
      </c>
      <c r="F575" s="2" t="s">
        <v>46</v>
      </c>
      <c r="G575" s="2" t="s">
        <v>1863</v>
      </c>
      <c r="H575" s="2" t="s">
        <v>1898</v>
      </c>
      <c r="I575" s="1" t="s">
        <v>1769</v>
      </c>
      <c r="J575" s="1" t="s">
        <v>35</v>
      </c>
      <c r="K575" s="6" t="s">
        <v>40</v>
      </c>
      <c r="L575" s="1"/>
    </row>
    <row r="576" spans="1:12" ht="15.75" customHeight="1">
      <c r="A576" s="1" t="s">
        <v>1899</v>
      </c>
      <c r="B576" s="2" t="s">
        <v>1888</v>
      </c>
      <c r="C576" s="2" t="s">
        <v>1850</v>
      </c>
      <c r="D576" s="2" t="s">
        <v>300</v>
      </c>
      <c r="E576" s="2" t="s">
        <v>1889</v>
      </c>
      <c r="F576" s="2" t="s">
        <v>46</v>
      </c>
      <c r="G576" s="2" t="s">
        <v>1890</v>
      </c>
      <c r="H576" s="2" t="s">
        <v>1900</v>
      </c>
      <c r="I576" s="1" t="s">
        <v>21</v>
      </c>
      <c r="J576" s="1" t="s">
        <v>19</v>
      </c>
      <c r="K576" s="6" t="s">
        <v>40</v>
      </c>
      <c r="L576" s="1"/>
    </row>
    <row r="577" spans="1:12" ht="15.75" customHeight="1">
      <c r="A577" s="1" t="s">
        <v>1901</v>
      </c>
      <c r="B577" s="2" t="s">
        <v>1893</v>
      </c>
      <c r="C577" s="2" t="s">
        <v>1850</v>
      </c>
      <c r="D577" s="2" t="s">
        <v>300</v>
      </c>
      <c r="E577" s="2" t="s">
        <v>1894</v>
      </c>
      <c r="F577" s="2" t="s">
        <v>120</v>
      </c>
      <c r="G577" s="2" t="s">
        <v>1895</v>
      </c>
      <c r="H577" s="2" t="s">
        <v>1902</v>
      </c>
      <c r="I577" s="1" t="s">
        <v>29</v>
      </c>
      <c r="J577" s="1" t="s">
        <v>35</v>
      </c>
      <c r="K577" s="6" t="s">
        <v>40</v>
      </c>
      <c r="L577" s="1"/>
    </row>
    <row r="578" spans="1:12" ht="15.75" customHeight="1">
      <c r="A578" s="1" t="s">
        <v>1903</v>
      </c>
      <c r="B578" s="2" t="s">
        <v>1855</v>
      </c>
      <c r="C578" s="2" t="s">
        <v>1850</v>
      </c>
      <c r="D578" s="2" t="s">
        <v>300</v>
      </c>
      <c r="E578" s="2" t="s">
        <v>1856</v>
      </c>
      <c r="F578" s="2" t="s">
        <v>140</v>
      </c>
      <c r="G578" s="2" t="s">
        <v>1857</v>
      </c>
      <c r="H578" s="2" t="s">
        <v>1904</v>
      </c>
      <c r="I578" s="1" t="s">
        <v>1867</v>
      </c>
      <c r="J578" s="1" t="s">
        <v>28</v>
      </c>
      <c r="K578" s="6" t="s">
        <v>40</v>
      </c>
      <c r="L578" s="1"/>
    </row>
    <row r="579" spans="1:12" ht="15.75" customHeight="1">
      <c r="A579" s="1" t="s">
        <v>1905</v>
      </c>
      <c r="B579" s="2" t="s">
        <v>1906</v>
      </c>
      <c r="C579" s="2" t="s">
        <v>1850</v>
      </c>
      <c r="D579" s="2" t="s">
        <v>300</v>
      </c>
      <c r="E579" s="2" t="s">
        <v>1907</v>
      </c>
      <c r="F579" s="2" t="s">
        <v>61</v>
      </c>
      <c r="G579" s="2" t="s">
        <v>1908</v>
      </c>
      <c r="H579" s="2" t="s">
        <v>1909</v>
      </c>
      <c r="I579" s="1" t="s">
        <v>1910</v>
      </c>
      <c r="J579" s="1" t="s">
        <v>1465</v>
      </c>
      <c r="K579" s="6" t="s">
        <v>144</v>
      </c>
      <c r="L579" s="20" t="s">
        <v>3878</v>
      </c>
    </row>
    <row r="580" spans="1:12" ht="15.75" customHeight="1">
      <c r="A580" s="1" t="s">
        <v>1911</v>
      </c>
      <c r="B580" s="2" t="s">
        <v>1855</v>
      </c>
      <c r="C580" s="2" t="s">
        <v>1850</v>
      </c>
      <c r="D580" s="2" t="s">
        <v>300</v>
      </c>
      <c r="E580" s="2" t="s">
        <v>1856</v>
      </c>
      <c r="F580" s="2" t="s">
        <v>140</v>
      </c>
      <c r="G580" s="2" t="s">
        <v>1857</v>
      </c>
      <c r="H580" s="2" t="s">
        <v>1912</v>
      </c>
      <c r="I580" s="1" t="s">
        <v>1878</v>
      </c>
      <c r="J580" s="1" t="s">
        <v>78</v>
      </c>
      <c r="K580" s="6" t="s">
        <v>40</v>
      </c>
      <c r="L580" s="1"/>
    </row>
    <row r="581" spans="1:12" ht="15.75" customHeight="1">
      <c r="A581" s="1" t="s">
        <v>1913</v>
      </c>
      <c r="B581" s="2" t="s">
        <v>1888</v>
      </c>
      <c r="C581" s="2" t="s">
        <v>1850</v>
      </c>
      <c r="D581" s="2" t="s">
        <v>300</v>
      </c>
      <c r="E581" s="2" t="s">
        <v>1889</v>
      </c>
      <c r="F581" s="2" t="s">
        <v>46</v>
      </c>
      <c r="G581" s="2" t="s">
        <v>1890</v>
      </c>
      <c r="H581" s="2" t="s">
        <v>1914</v>
      </c>
      <c r="I581" s="1" t="s">
        <v>36</v>
      </c>
      <c r="J581" s="1" t="s">
        <v>28</v>
      </c>
      <c r="K581" s="6" t="s">
        <v>40</v>
      </c>
      <c r="L581" s="1"/>
    </row>
    <row r="582" spans="1:12" ht="15.75" customHeight="1">
      <c r="A582" s="1" t="s">
        <v>1915</v>
      </c>
      <c r="B582" s="2" t="s">
        <v>1888</v>
      </c>
      <c r="C582" s="2" t="s">
        <v>1850</v>
      </c>
      <c r="D582" s="2" t="s">
        <v>300</v>
      </c>
      <c r="E582" s="2" t="s">
        <v>1889</v>
      </c>
      <c r="F582" s="2" t="s">
        <v>46</v>
      </c>
      <c r="G582" s="2" t="s">
        <v>1890</v>
      </c>
      <c r="H582" s="2" t="s">
        <v>1916</v>
      </c>
      <c r="I582" s="1" t="s">
        <v>21</v>
      </c>
      <c r="J582" s="1" t="s">
        <v>19</v>
      </c>
      <c r="K582" s="6" t="s">
        <v>40</v>
      </c>
      <c r="L582" s="1"/>
    </row>
    <row r="583" spans="1:12" ht="15.75" customHeight="1">
      <c r="A583" s="1" t="s">
        <v>1917</v>
      </c>
      <c r="B583" s="2" t="s">
        <v>1849</v>
      </c>
      <c r="C583" s="2" t="s">
        <v>1850</v>
      </c>
      <c r="D583" s="2" t="s">
        <v>300</v>
      </c>
      <c r="E583" s="2" t="s">
        <v>1851</v>
      </c>
      <c r="F583" s="2" t="s">
        <v>120</v>
      </c>
      <c r="G583" s="2" t="s">
        <v>1852</v>
      </c>
      <c r="H583" s="2" t="s">
        <v>1918</v>
      </c>
      <c r="I583" s="1" t="s">
        <v>10</v>
      </c>
      <c r="J583" s="1" t="s">
        <v>78</v>
      </c>
      <c r="K583" s="6" t="s">
        <v>40</v>
      </c>
      <c r="L583" s="1"/>
    </row>
    <row r="584" spans="1:12" ht="15.75" customHeight="1">
      <c r="A584" s="1" t="s">
        <v>1919</v>
      </c>
      <c r="B584" s="2" t="s">
        <v>1855</v>
      </c>
      <c r="C584" s="2" t="s">
        <v>1850</v>
      </c>
      <c r="D584" s="2" t="s">
        <v>300</v>
      </c>
      <c r="E584" s="2" t="s">
        <v>1856</v>
      </c>
      <c r="F584" s="2" t="s">
        <v>140</v>
      </c>
      <c r="G584" s="2" t="s">
        <v>1857</v>
      </c>
      <c r="H584" s="2" t="s">
        <v>1920</v>
      </c>
      <c r="I584" s="6" t="s">
        <v>1867</v>
      </c>
      <c r="J584" s="1" t="s">
        <v>28</v>
      </c>
      <c r="K584" s="6" t="s">
        <v>40</v>
      </c>
      <c r="L584" s="1"/>
    </row>
    <row r="585" spans="1:12" ht="15.75" customHeight="1">
      <c r="A585" s="1" t="s">
        <v>1921</v>
      </c>
      <c r="B585" s="2" t="s">
        <v>1855</v>
      </c>
      <c r="C585" s="2" t="s">
        <v>1850</v>
      </c>
      <c r="D585" s="2" t="s">
        <v>300</v>
      </c>
      <c r="E585" s="2" t="s">
        <v>1856</v>
      </c>
      <c r="F585" s="2" t="s">
        <v>140</v>
      </c>
      <c r="G585" s="2" t="s">
        <v>1857</v>
      </c>
      <c r="H585" s="2" t="s">
        <v>1922</v>
      </c>
      <c r="I585" s="1" t="s">
        <v>1859</v>
      </c>
      <c r="J585" s="1" t="s">
        <v>35</v>
      </c>
      <c r="K585" s="6" t="s">
        <v>40</v>
      </c>
      <c r="L585" s="1"/>
    </row>
    <row r="586" spans="1:12" ht="15.75" customHeight="1">
      <c r="A586" s="1" t="s">
        <v>1923</v>
      </c>
      <c r="B586" s="2" t="s">
        <v>1893</v>
      </c>
      <c r="C586" s="2" t="s">
        <v>1850</v>
      </c>
      <c r="D586" s="2" t="s">
        <v>300</v>
      </c>
      <c r="E586" s="2" t="s">
        <v>1894</v>
      </c>
      <c r="F586" s="2" t="s">
        <v>120</v>
      </c>
      <c r="G586" s="2" t="s">
        <v>1895</v>
      </c>
      <c r="H586" s="2" t="s">
        <v>1924</v>
      </c>
      <c r="I586" s="1" t="s">
        <v>36</v>
      </c>
      <c r="J586" s="1" t="s">
        <v>28</v>
      </c>
      <c r="K586" s="6" t="s">
        <v>40</v>
      </c>
      <c r="L586" s="1"/>
    </row>
    <row r="587" spans="1:12" ht="15.75" customHeight="1">
      <c r="A587" s="1" t="s">
        <v>1925</v>
      </c>
      <c r="B587" s="2" t="s">
        <v>1893</v>
      </c>
      <c r="C587" s="2" t="s">
        <v>1850</v>
      </c>
      <c r="D587" s="2" t="s">
        <v>300</v>
      </c>
      <c r="E587" s="2" t="s">
        <v>1894</v>
      </c>
      <c r="F587" s="2" t="s">
        <v>120</v>
      </c>
      <c r="G587" s="2" t="s">
        <v>1895</v>
      </c>
      <c r="H587" s="2" t="s">
        <v>1926</v>
      </c>
      <c r="I587" s="1" t="s">
        <v>10</v>
      </c>
      <c r="J587" s="1" t="s">
        <v>78</v>
      </c>
      <c r="K587" s="6" t="s">
        <v>40</v>
      </c>
      <c r="L587" s="1"/>
    </row>
    <row r="588" spans="1:12" ht="15.75" customHeight="1">
      <c r="A588" s="1" t="s">
        <v>1927</v>
      </c>
      <c r="B588" s="2" t="s">
        <v>1906</v>
      </c>
      <c r="C588" s="2" t="s">
        <v>1850</v>
      </c>
      <c r="D588" s="2" t="s">
        <v>300</v>
      </c>
      <c r="E588" s="2" t="s">
        <v>1907</v>
      </c>
      <c r="F588" s="2" t="s">
        <v>61</v>
      </c>
      <c r="G588" s="2" t="s">
        <v>1908</v>
      </c>
      <c r="H588" s="2" t="s">
        <v>1928</v>
      </c>
      <c r="I588" s="1"/>
      <c r="J588" s="1" t="s">
        <v>50</v>
      </c>
      <c r="K588" s="6" t="s">
        <v>144</v>
      </c>
      <c r="L588" s="1" t="s">
        <v>1867</v>
      </c>
    </row>
    <row r="589" spans="1:12" ht="15.75" customHeight="1">
      <c r="A589" s="1" t="s">
        <v>1929</v>
      </c>
      <c r="B589" s="2" t="s">
        <v>1893</v>
      </c>
      <c r="C589" s="2" t="s">
        <v>1850</v>
      </c>
      <c r="D589" s="2" t="s">
        <v>300</v>
      </c>
      <c r="E589" s="2" t="s">
        <v>1894</v>
      </c>
      <c r="F589" s="2" t="s">
        <v>120</v>
      </c>
      <c r="G589" s="2" t="s">
        <v>1895</v>
      </c>
      <c r="H589" s="2" t="s">
        <v>1930</v>
      </c>
      <c r="I589" s="1" t="s">
        <v>29</v>
      </c>
      <c r="J589" s="1" t="s">
        <v>35</v>
      </c>
      <c r="K589" s="6" t="s">
        <v>40</v>
      </c>
      <c r="L589" s="1"/>
    </row>
    <row r="590" spans="1:12" ht="15.75" customHeight="1">
      <c r="A590" s="1" t="s">
        <v>1931</v>
      </c>
      <c r="B590" s="2" t="s">
        <v>1855</v>
      </c>
      <c r="C590" s="2" t="s">
        <v>1850</v>
      </c>
      <c r="D590" s="2" t="s">
        <v>300</v>
      </c>
      <c r="E590" s="2" t="s">
        <v>1856</v>
      </c>
      <c r="F590" s="2" t="s">
        <v>140</v>
      </c>
      <c r="G590" s="2" t="s">
        <v>1857</v>
      </c>
      <c r="H590" s="2" t="s">
        <v>1932</v>
      </c>
      <c r="I590" s="1" t="s">
        <v>1878</v>
      </c>
      <c r="J590" s="1" t="s">
        <v>78</v>
      </c>
      <c r="K590" s="6" t="s">
        <v>40</v>
      </c>
      <c r="L590" s="1"/>
    </row>
    <row r="591" spans="1:12" ht="15.75" customHeight="1">
      <c r="A591" s="1" t="s">
        <v>1933</v>
      </c>
      <c r="B591" s="2" t="s">
        <v>1855</v>
      </c>
      <c r="C591" s="2" t="s">
        <v>1850</v>
      </c>
      <c r="D591" s="2" t="s">
        <v>300</v>
      </c>
      <c r="E591" s="2" t="s">
        <v>1856</v>
      </c>
      <c r="F591" s="2" t="s">
        <v>140</v>
      </c>
      <c r="G591" s="2" t="s">
        <v>1857</v>
      </c>
      <c r="H591" s="2" t="s">
        <v>1934</v>
      </c>
      <c r="I591" s="1" t="s">
        <v>1867</v>
      </c>
      <c r="J591" s="1" t="s">
        <v>28</v>
      </c>
      <c r="K591" s="6" t="s">
        <v>40</v>
      </c>
      <c r="L591" s="1"/>
    </row>
    <row r="592" spans="1:12" ht="15.75" customHeight="1">
      <c r="A592" s="1" t="s">
        <v>1935</v>
      </c>
      <c r="B592" s="2" t="s">
        <v>1849</v>
      </c>
      <c r="C592" s="2" t="s">
        <v>1850</v>
      </c>
      <c r="D592" s="2" t="s">
        <v>300</v>
      </c>
      <c r="E592" s="2" t="s">
        <v>1851</v>
      </c>
      <c r="F592" s="2" t="s">
        <v>120</v>
      </c>
      <c r="G592" s="2" t="s">
        <v>1852</v>
      </c>
      <c r="H592" s="2" t="s">
        <v>1936</v>
      </c>
      <c r="I592" s="1" t="s">
        <v>29</v>
      </c>
      <c r="J592" s="1" t="s">
        <v>35</v>
      </c>
      <c r="K592" s="6" t="s">
        <v>40</v>
      </c>
      <c r="L592" s="1"/>
    </row>
    <row r="593" spans="1:12" ht="15.75" customHeight="1">
      <c r="A593" s="1" t="s">
        <v>1937</v>
      </c>
      <c r="B593" s="2" t="s">
        <v>1849</v>
      </c>
      <c r="C593" s="2" t="s">
        <v>1850</v>
      </c>
      <c r="D593" s="2" t="s">
        <v>300</v>
      </c>
      <c r="E593" s="2" t="s">
        <v>1851</v>
      </c>
      <c r="F593" s="2" t="s">
        <v>120</v>
      </c>
      <c r="G593" s="2" t="s">
        <v>1852</v>
      </c>
      <c r="H593" s="2" t="s">
        <v>1938</v>
      </c>
      <c r="I593" s="1" t="s">
        <v>29</v>
      </c>
      <c r="J593" s="1" t="s">
        <v>35</v>
      </c>
      <c r="K593" s="6" t="s">
        <v>40</v>
      </c>
      <c r="L593" s="1"/>
    </row>
    <row r="594" spans="1:12" ht="15.75" customHeight="1">
      <c r="A594" s="1" t="s">
        <v>1939</v>
      </c>
      <c r="B594" s="2" t="s">
        <v>1893</v>
      </c>
      <c r="C594" s="2" t="s">
        <v>1850</v>
      </c>
      <c r="D594" s="2" t="s">
        <v>300</v>
      </c>
      <c r="E594" s="2" t="s">
        <v>1894</v>
      </c>
      <c r="F594" s="2" t="s">
        <v>120</v>
      </c>
      <c r="G594" s="2" t="s">
        <v>1895</v>
      </c>
      <c r="H594" s="2" t="s">
        <v>1940</v>
      </c>
      <c r="I594" s="1" t="s">
        <v>29</v>
      </c>
      <c r="J594" s="1" t="s">
        <v>35</v>
      </c>
      <c r="K594" s="6" t="s">
        <v>40</v>
      </c>
      <c r="L594" s="1"/>
    </row>
    <row r="595" spans="1:12" ht="15.75" customHeight="1">
      <c r="A595" s="1" t="s">
        <v>1941</v>
      </c>
      <c r="B595" s="2" t="s">
        <v>1888</v>
      </c>
      <c r="C595" s="2" t="s">
        <v>1850</v>
      </c>
      <c r="D595" s="2" t="s">
        <v>300</v>
      </c>
      <c r="E595" s="2" t="s">
        <v>1889</v>
      </c>
      <c r="F595" s="2" t="s">
        <v>46</v>
      </c>
      <c r="G595" s="2" t="s">
        <v>1890</v>
      </c>
      <c r="H595" s="2" t="s">
        <v>1942</v>
      </c>
      <c r="I595" s="1" t="s">
        <v>10</v>
      </c>
      <c r="J595" s="1" t="s">
        <v>78</v>
      </c>
      <c r="K595" s="6" t="s">
        <v>40</v>
      </c>
      <c r="L595" s="1"/>
    </row>
    <row r="596" spans="1:12" ht="15.75" customHeight="1">
      <c r="A596" s="1" t="s">
        <v>1943</v>
      </c>
      <c r="B596" s="2" t="s">
        <v>1944</v>
      </c>
      <c r="C596" s="2" t="s">
        <v>1945</v>
      </c>
      <c r="D596" s="2" t="s">
        <v>1215</v>
      </c>
      <c r="E596" s="2" t="s">
        <v>1946</v>
      </c>
      <c r="F596" s="2" t="s">
        <v>46</v>
      </c>
      <c r="G596" s="2" t="s">
        <v>1947</v>
      </c>
      <c r="H596" s="2" t="s">
        <v>1948</v>
      </c>
      <c r="I596" s="1" t="s">
        <v>18</v>
      </c>
      <c r="J596" s="1" t="s">
        <v>19</v>
      </c>
      <c r="K596" s="6" t="s">
        <v>40</v>
      </c>
      <c r="L596" s="1"/>
    </row>
    <row r="597" spans="1:12" ht="15.75" customHeight="1">
      <c r="A597" s="1" t="s">
        <v>1949</v>
      </c>
      <c r="B597" s="2" t="s">
        <v>1944</v>
      </c>
      <c r="C597" s="2" t="s">
        <v>1945</v>
      </c>
      <c r="D597" s="2" t="s">
        <v>1215</v>
      </c>
      <c r="E597" s="2" t="s">
        <v>1946</v>
      </c>
      <c r="F597" s="2" t="s">
        <v>46</v>
      </c>
      <c r="G597" s="2" t="s">
        <v>1947</v>
      </c>
      <c r="H597" s="2" t="s">
        <v>1950</v>
      </c>
      <c r="I597" s="1" t="s">
        <v>18</v>
      </c>
      <c r="J597" s="1" t="s">
        <v>19</v>
      </c>
      <c r="K597" s="6" t="s">
        <v>40</v>
      </c>
      <c r="L597" s="1"/>
    </row>
    <row r="598" spans="1:12" ht="15.75" customHeight="1">
      <c r="A598" s="1" t="s">
        <v>1951</v>
      </c>
      <c r="B598" s="2" t="s">
        <v>1944</v>
      </c>
      <c r="C598" s="2" t="s">
        <v>1945</v>
      </c>
      <c r="D598" s="2" t="s">
        <v>1215</v>
      </c>
      <c r="E598" s="2" t="s">
        <v>1946</v>
      </c>
      <c r="F598" s="2" t="s">
        <v>46</v>
      </c>
      <c r="G598" s="2" t="s">
        <v>1947</v>
      </c>
      <c r="H598" s="2" t="s">
        <v>1952</v>
      </c>
      <c r="I598" s="1" t="s">
        <v>18</v>
      </c>
      <c r="J598" s="1" t="s">
        <v>19</v>
      </c>
      <c r="K598" s="6" t="s">
        <v>40</v>
      </c>
      <c r="L598" s="1"/>
    </row>
    <row r="599" spans="1:12" ht="15.75" customHeight="1">
      <c r="A599" s="1" t="s">
        <v>1953</v>
      </c>
      <c r="B599" s="2" t="s">
        <v>1944</v>
      </c>
      <c r="C599" s="2" t="s">
        <v>1945</v>
      </c>
      <c r="D599" s="2" t="s">
        <v>1215</v>
      </c>
      <c r="E599" s="2" t="s">
        <v>1946</v>
      </c>
      <c r="F599" s="2" t="s">
        <v>46</v>
      </c>
      <c r="G599" s="2" t="s">
        <v>1947</v>
      </c>
      <c r="H599" s="2" t="s">
        <v>1954</v>
      </c>
      <c r="I599" s="1" t="s">
        <v>34</v>
      </c>
      <c r="J599" s="1" t="s">
        <v>35</v>
      </c>
      <c r="K599" s="6" t="s">
        <v>40</v>
      </c>
      <c r="L599" s="1"/>
    </row>
    <row r="600" spans="1:12" ht="15.75" customHeight="1">
      <c r="A600" s="1" t="s">
        <v>1955</v>
      </c>
      <c r="B600" s="2" t="s">
        <v>1956</v>
      </c>
      <c r="C600" s="2" t="s">
        <v>1957</v>
      </c>
      <c r="D600" s="2" t="s">
        <v>1226</v>
      </c>
      <c r="E600" s="2" t="s">
        <v>1958</v>
      </c>
      <c r="F600" s="2" t="s">
        <v>140</v>
      </c>
      <c r="G600" s="2" t="s">
        <v>1959</v>
      </c>
      <c r="H600" s="2" t="s">
        <v>1960</v>
      </c>
      <c r="I600" s="1" t="s">
        <v>21</v>
      </c>
      <c r="J600" s="1" t="s">
        <v>19</v>
      </c>
      <c r="K600" s="6" t="s">
        <v>40</v>
      </c>
      <c r="L600" s="1"/>
    </row>
    <row r="601" spans="1:12" ht="15.75" customHeight="1">
      <c r="A601" s="1" t="s">
        <v>1961</v>
      </c>
      <c r="B601" s="2" t="s">
        <v>1962</v>
      </c>
      <c r="C601" s="2" t="s">
        <v>1957</v>
      </c>
      <c r="D601" s="2" t="s">
        <v>1226</v>
      </c>
      <c r="E601" s="2" t="s">
        <v>1963</v>
      </c>
      <c r="F601" s="2" t="s">
        <v>126</v>
      </c>
      <c r="G601" s="2" t="s">
        <v>1964</v>
      </c>
      <c r="H601" s="2" t="s">
        <v>1965</v>
      </c>
      <c r="I601" s="1" t="s">
        <v>1966</v>
      </c>
      <c r="J601" s="1" t="s">
        <v>78</v>
      </c>
      <c r="K601" s="6" t="s">
        <v>40</v>
      </c>
      <c r="L601" s="6"/>
    </row>
    <row r="602" spans="1:12" ht="15.75" customHeight="1">
      <c r="A602" s="1" t="s">
        <v>1967</v>
      </c>
      <c r="B602" s="2" t="s">
        <v>1962</v>
      </c>
      <c r="C602" s="2" t="s">
        <v>1957</v>
      </c>
      <c r="D602" s="2" t="s">
        <v>1226</v>
      </c>
      <c r="E602" s="2" t="s">
        <v>1963</v>
      </c>
      <c r="F602" s="2" t="s">
        <v>126</v>
      </c>
      <c r="G602" s="2" t="s">
        <v>1964</v>
      </c>
      <c r="H602" s="2" t="s">
        <v>1968</v>
      </c>
      <c r="I602" s="1" t="s">
        <v>1969</v>
      </c>
      <c r="J602" s="1" t="s">
        <v>50</v>
      </c>
      <c r="K602" s="6" t="s">
        <v>40</v>
      </c>
      <c r="L602" s="1"/>
    </row>
    <row r="603" spans="1:12" ht="15.75" customHeight="1">
      <c r="A603" s="1" t="s">
        <v>1970</v>
      </c>
      <c r="B603" s="2" t="s">
        <v>1962</v>
      </c>
      <c r="C603" s="2" t="s">
        <v>1957</v>
      </c>
      <c r="D603" s="2" t="s">
        <v>1226</v>
      </c>
      <c r="E603" s="2" t="s">
        <v>1963</v>
      </c>
      <c r="F603" s="2" t="s">
        <v>126</v>
      </c>
      <c r="G603" s="2" t="s">
        <v>1964</v>
      </c>
      <c r="H603" s="2" t="s">
        <v>1971</v>
      </c>
      <c r="I603" s="1" t="s">
        <v>1972</v>
      </c>
      <c r="J603" s="1" t="s">
        <v>50</v>
      </c>
      <c r="K603" s="6" t="s">
        <v>40</v>
      </c>
      <c r="L603" s="1"/>
    </row>
    <row r="604" spans="1:12" ht="15.75" customHeight="1">
      <c r="A604" s="1" t="s">
        <v>1973</v>
      </c>
      <c r="B604" s="2" t="s">
        <v>1962</v>
      </c>
      <c r="C604" s="2" t="s">
        <v>1957</v>
      </c>
      <c r="D604" s="2" t="s">
        <v>1226</v>
      </c>
      <c r="E604" s="2" t="s">
        <v>1963</v>
      </c>
      <c r="F604" s="2" t="s">
        <v>126</v>
      </c>
      <c r="G604" s="2" t="s">
        <v>1964</v>
      </c>
      <c r="H604" s="2" t="s">
        <v>1974</v>
      </c>
      <c r="I604" s="1" t="s">
        <v>1969</v>
      </c>
      <c r="J604" s="1" t="s">
        <v>50</v>
      </c>
      <c r="K604" s="6" t="s">
        <v>40</v>
      </c>
      <c r="L604" s="1"/>
    </row>
    <row r="605" spans="1:12" ht="15.75" customHeight="1">
      <c r="A605" s="1" t="s">
        <v>1975</v>
      </c>
      <c r="B605" s="2" t="s">
        <v>1976</v>
      </c>
      <c r="C605" s="2" t="s">
        <v>1977</v>
      </c>
      <c r="D605" s="2" t="s">
        <v>1069</v>
      </c>
      <c r="E605" s="2" t="s">
        <v>1978</v>
      </c>
      <c r="F605" s="2" t="s">
        <v>180</v>
      </c>
      <c r="G605" s="2" t="s">
        <v>1979</v>
      </c>
      <c r="H605" s="2" t="s">
        <v>1980</v>
      </c>
      <c r="I605" s="1" t="s">
        <v>116</v>
      </c>
      <c r="J605" s="1" t="s">
        <v>35</v>
      </c>
      <c r="K605" s="6" t="s">
        <v>40</v>
      </c>
      <c r="L605" s="1"/>
    </row>
    <row r="606" spans="1:12" ht="15.75" customHeight="1">
      <c r="A606" s="1" t="s">
        <v>1981</v>
      </c>
      <c r="B606" s="2" t="s">
        <v>1976</v>
      </c>
      <c r="C606" s="2" t="s">
        <v>1977</v>
      </c>
      <c r="D606" s="2" t="s">
        <v>1069</v>
      </c>
      <c r="E606" s="2" t="s">
        <v>1978</v>
      </c>
      <c r="F606" s="2" t="s">
        <v>180</v>
      </c>
      <c r="G606" s="2" t="s">
        <v>1979</v>
      </c>
      <c r="H606" s="2" t="s">
        <v>1982</v>
      </c>
      <c r="I606" s="1" t="s">
        <v>116</v>
      </c>
      <c r="J606" s="1" t="s">
        <v>35</v>
      </c>
      <c r="K606" s="6" t="s">
        <v>40</v>
      </c>
      <c r="L606" s="1"/>
    </row>
    <row r="607" spans="1:12" ht="15.75" customHeight="1">
      <c r="A607" s="1" t="s">
        <v>1983</v>
      </c>
      <c r="B607" s="2" t="s">
        <v>1976</v>
      </c>
      <c r="C607" s="2" t="s">
        <v>1977</v>
      </c>
      <c r="D607" s="2" t="s">
        <v>1069</v>
      </c>
      <c r="E607" s="2" t="s">
        <v>1978</v>
      </c>
      <c r="F607" s="2" t="s">
        <v>180</v>
      </c>
      <c r="G607" s="2" t="s">
        <v>1979</v>
      </c>
      <c r="H607" s="2" t="s">
        <v>1984</v>
      </c>
      <c r="I607" s="1" t="s">
        <v>116</v>
      </c>
      <c r="J607" s="1" t="s">
        <v>35</v>
      </c>
      <c r="K607" s="6" t="s">
        <v>40</v>
      </c>
      <c r="L607" s="1"/>
    </row>
    <row r="608" spans="1:12" ht="15.75" customHeight="1">
      <c r="A608" s="1" t="s">
        <v>1985</v>
      </c>
      <c r="B608" s="2" t="s">
        <v>1986</v>
      </c>
      <c r="C608" s="2" t="s">
        <v>1987</v>
      </c>
      <c r="D608" s="2" t="s">
        <v>1988</v>
      </c>
      <c r="E608" s="2" t="s">
        <v>1989</v>
      </c>
      <c r="F608" s="2" t="s">
        <v>157</v>
      </c>
      <c r="G608" s="2" t="s">
        <v>1990</v>
      </c>
      <c r="H608" s="2" t="s">
        <v>1991</v>
      </c>
      <c r="I608" s="1" t="s">
        <v>1992</v>
      </c>
      <c r="J608" s="1" t="s">
        <v>35</v>
      </c>
      <c r="K608" s="6" t="s">
        <v>40</v>
      </c>
      <c r="L608" s="1"/>
    </row>
    <row r="609" spans="1:12" ht="15.75" customHeight="1">
      <c r="A609" s="1" t="s">
        <v>1993</v>
      </c>
      <c r="B609" s="2" t="s">
        <v>1986</v>
      </c>
      <c r="C609" s="2" t="s">
        <v>1987</v>
      </c>
      <c r="D609" s="2" t="s">
        <v>1988</v>
      </c>
      <c r="E609" s="2" t="s">
        <v>1989</v>
      </c>
      <c r="F609" s="2" t="s">
        <v>157</v>
      </c>
      <c r="G609" s="2" t="s">
        <v>1990</v>
      </c>
      <c r="H609" s="2" t="s">
        <v>1994</v>
      </c>
      <c r="I609" s="1" t="s">
        <v>1995</v>
      </c>
      <c r="J609" s="1" t="s">
        <v>19</v>
      </c>
      <c r="K609" s="6" t="s">
        <v>40</v>
      </c>
      <c r="L609" s="1"/>
    </row>
    <row r="610" spans="1:12" ht="15.75" customHeight="1">
      <c r="A610" s="1" t="s">
        <v>1996</v>
      </c>
      <c r="B610" s="2" t="s">
        <v>1986</v>
      </c>
      <c r="C610" s="2" t="s">
        <v>1987</v>
      </c>
      <c r="D610" s="2" t="s">
        <v>1988</v>
      </c>
      <c r="E610" s="2" t="s">
        <v>1989</v>
      </c>
      <c r="F610" s="2" t="s">
        <v>157</v>
      </c>
      <c r="G610" s="2" t="s">
        <v>1990</v>
      </c>
      <c r="H610" s="2" t="s">
        <v>1997</v>
      </c>
      <c r="I610" s="1" t="s">
        <v>1998</v>
      </c>
      <c r="J610" s="1" t="s">
        <v>35</v>
      </c>
      <c r="K610" s="6" t="s">
        <v>40</v>
      </c>
      <c r="L610" s="1"/>
    </row>
    <row r="611" spans="1:12" ht="15.75" customHeight="1">
      <c r="A611" s="1" t="s">
        <v>1999</v>
      </c>
      <c r="B611" s="2" t="s">
        <v>2000</v>
      </c>
      <c r="C611" s="2" t="s">
        <v>2001</v>
      </c>
      <c r="D611" s="2" t="s">
        <v>1215</v>
      </c>
      <c r="E611" s="2" t="s">
        <v>2002</v>
      </c>
      <c r="F611" s="2" t="s">
        <v>46</v>
      </c>
      <c r="G611" s="2" t="s">
        <v>2003</v>
      </c>
      <c r="H611" s="2" t="s">
        <v>2004</v>
      </c>
      <c r="I611" s="1" t="s">
        <v>34</v>
      </c>
      <c r="J611" s="1" t="s">
        <v>35</v>
      </c>
      <c r="K611" s="6" t="s">
        <v>40</v>
      </c>
      <c r="L611" s="1"/>
    </row>
    <row r="612" spans="1:12" ht="15.75" customHeight="1">
      <c r="A612" s="1" t="s">
        <v>2005</v>
      </c>
      <c r="B612" s="2" t="s">
        <v>2006</v>
      </c>
      <c r="C612" s="2" t="s">
        <v>2001</v>
      </c>
      <c r="D612" s="2" t="s">
        <v>1215</v>
      </c>
      <c r="E612" s="2" t="s">
        <v>2007</v>
      </c>
      <c r="F612" s="2" t="s">
        <v>24</v>
      </c>
      <c r="G612" s="2" t="s">
        <v>2008</v>
      </c>
      <c r="H612" s="2" t="s">
        <v>2009</v>
      </c>
      <c r="I612" s="1" t="s">
        <v>160</v>
      </c>
      <c r="J612" s="1" t="s">
        <v>78</v>
      </c>
      <c r="K612" s="6" t="s">
        <v>40</v>
      </c>
      <c r="L612" s="1"/>
    </row>
    <row r="613" spans="1:12" ht="15.75" customHeight="1">
      <c r="A613" s="1" t="s">
        <v>2010</v>
      </c>
      <c r="B613" s="2" t="s">
        <v>2000</v>
      </c>
      <c r="C613" s="2" t="s">
        <v>2001</v>
      </c>
      <c r="D613" s="2" t="s">
        <v>1215</v>
      </c>
      <c r="E613" s="2" t="s">
        <v>2002</v>
      </c>
      <c r="F613" s="2" t="s">
        <v>46</v>
      </c>
      <c r="G613" s="2" t="s">
        <v>2003</v>
      </c>
      <c r="H613" s="2" t="s">
        <v>2011</v>
      </c>
      <c r="I613" s="1" t="s">
        <v>18</v>
      </c>
      <c r="J613" s="1" t="s">
        <v>19</v>
      </c>
      <c r="K613" s="6" t="s">
        <v>40</v>
      </c>
      <c r="L613" s="1"/>
    </row>
    <row r="614" spans="1:12" ht="15.75" customHeight="1">
      <c r="A614" s="1" t="s">
        <v>2012</v>
      </c>
      <c r="B614" s="2" t="s">
        <v>2000</v>
      </c>
      <c r="C614" s="2" t="s">
        <v>2001</v>
      </c>
      <c r="D614" s="2" t="s">
        <v>1215</v>
      </c>
      <c r="E614" s="2" t="s">
        <v>2002</v>
      </c>
      <c r="F614" s="2" t="s">
        <v>46</v>
      </c>
      <c r="G614" s="2" t="s">
        <v>2003</v>
      </c>
      <c r="H614" s="2" t="s">
        <v>2013</v>
      </c>
      <c r="I614" s="1" t="s">
        <v>18</v>
      </c>
      <c r="J614" s="1" t="s">
        <v>19</v>
      </c>
      <c r="K614" s="6" t="s">
        <v>40</v>
      </c>
      <c r="L614" s="1"/>
    </row>
    <row r="615" spans="1:12" ht="15.75" customHeight="1">
      <c r="A615" s="1" t="s">
        <v>2014</v>
      </c>
      <c r="B615" s="2" t="s">
        <v>2000</v>
      </c>
      <c r="C615" s="2" t="s">
        <v>2001</v>
      </c>
      <c r="D615" s="2" t="s">
        <v>1215</v>
      </c>
      <c r="E615" s="2" t="s">
        <v>2002</v>
      </c>
      <c r="F615" s="2" t="s">
        <v>46</v>
      </c>
      <c r="G615" s="2" t="s">
        <v>2003</v>
      </c>
      <c r="H615" s="2" t="s">
        <v>2015</v>
      </c>
      <c r="I615" s="1" t="s">
        <v>160</v>
      </c>
      <c r="J615" s="1" t="s">
        <v>78</v>
      </c>
      <c r="K615" s="6" t="s">
        <v>40</v>
      </c>
      <c r="L615" s="1"/>
    </row>
    <row r="616" spans="1:12" ht="15.75" customHeight="1">
      <c r="A616" s="1" t="s">
        <v>2016</v>
      </c>
      <c r="B616" s="2" t="s">
        <v>2000</v>
      </c>
      <c r="C616" s="2" t="s">
        <v>2001</v>
      </c>
      <c r="D616" s="2" t="s">
        <v>1215</v>
      </c>
      <c r="E616" s="2" t="s">
        <v>2002</v>
      </c>
      <c r="F616" s="2" t="s">
        <v>46</v>
      </c>
      <c r="G616" s="2" t="s">
        <v>2003</v>
      </c>
      <c r="H616" s="2" t="s">
        <v>2017</v>
      </c>
      <c r="I616" s="1" t="s">
        <v>160</v>
      </c>
      <c r="J616" s="1" t="s">
        <v>78</v>
      </c>
      <c r="K616" s="6" t="s">
        <v>40</v>
      </c>
      <c r="L616" s="1"/>
    </row>
    <row r="617" spans="1:12" ht="15.75" customHeight="1">
      <c r="A617" s="1" t="s">
        <v>2018</v>
      </c>
      <c r="B617" s="2" t="s">
        <v>2019</v>
      </c>
      <c r="C617" s="2" t="s">
        <v>2001</v>
      </c>
      <c r="D617" s="2" t="s">
        <v>1215</v>
      </c>
      <c r="E617" s="2" t="s">
        <v>2020</v>
      </c>
      <c r="F617" s="2" t="s">
        <v>126</v>
      </c>
      <c r="G617" s="2" t="s">
        <v>2021</v>
      </c>
      <c r="H617" s="2" t="s">
        <v>2022</v>
      </c>
      <c r="I617" s="1" t="s">
        <v>2023</v>
      </c>
      <c r="J617" s="1" t="s">
        <v>19</v>
      </c>
      <c r="K617" s="6" t="s">
        <v>40</v>
      </c>
      <c r="L617" s="1"/>
    </row>
    <row r="618" spans="1:12" ht="15.75" customHeight="1">
      <c r="A618" s="1" t="s">
        <v>2024</v>
      </c>
      <c r="B618" s="2" t="s">
        <v>2000</v>
      </c>
      <c r="C618" s="2" t="s">
        <v>2001</v>
      </c>
      <c r="D618" s="2" t="s">
        <v>1215</v>
      </c>
      <c r="E618" s="2" t="s">
        <v>2002</v>
      </c>
      <c r="F618" s="2" t="s">
        <v>46</v>
      </c>
      <c r="G618" s="2" t="s">
        <v>2003</v>
      </c>
      <c r="H618" s="2" t="s">
        <v>2025</v>
      </c>
      <c r="I618" s="1" t="s">
        <v>2026</v>
      </c>
      <c r="J618" s="1" t="s">
        <v>679</v>
      </c>
      <c r="K618" s="6" t="s">
        <v>40</v>
      </c>
      <c r="L618" s="1"/>
    </row>
    <row r="619" spans="1:12" ht="15.75" customHeight="1">
      <c r="A619" s="1" t="s">
        <v>2027</v>
      </c>
      <c r="B619" s="2" t="s">
        <v>2000</v>
      </c>
      <c r="C619" s="2" t="s">
        <v>2001</v>
      </c>
      <c r="D619" s="2" t="s">
        <v>1215</v>
      </c>
      <c r="E619" s="2" t="s">
        <v>2002</v>
      </c>
      <c r="F619" s="2" t="s">
        <v>46</v>
      </c>
      <c r="G619" s="2" t="s">
        <v>2003</v>
      </c>
      <c r="H619" s="2" t="s">
        <v>2028</v>
      </c>
      <c r="I619" s="1" t="s">
        <v>18</v>
      </c>
      <c r="J619" s="1" t="s">
        <v>19</v>
      </c>
      <c r="K619" s="6" t="s">
        <v>40</v>
      </c>
      <c r="L619" s="1"/>
    </row>
    <row r="620" spans="1:12" ht="15.75" customHeight="1">
      <c r="A620" s="1" t="s">
        <v>2029</v>
      </c>
      <c r="B620" s="2" t="s">
        <v>2030</v>
      </c>
      <c r="C620" s="2" t="s">
        <v>2031</v>
      </c>
      <c r="D620" s="2" t="s">
        <v>1363</v>
      </c>
      <c r="E620" s="2" t="s">
        <v>2032</v>
      </c>
      <c r="F620" s="2" t="s">
        <v>120</v>
      </c>
      <c r="G620" s="2" t="s">
        <v>2033</v>
      </c>
      <c r="H620" s="2" t="s">
        <v>2034</v>
      </c>
      <c r="I620" s="1" t="s">
        <v>34</v>
      </c>
      <c r="J620" s="1" t="s">
        <v>35</v>
      </c>
      <c r="K620" s="6" t="s">
        <v>40</v>
      </c>
      <c r="L620" s="1"/>
    </row>
    <row r="621" spans="1:12" ht="15.75" customHeight="1">
      <c r="A621" s="1" t="s">
        <v>2035</v>
      </c>
      <c r="B621" s="2" t="s">
        <v>2036</v>
      </c>
      <c r="C621" s="2" t="s">
        <v>2031</v>
      </c>
      <c r="D621" s="2" t="s">
        <v>1363</v>
      </c>
      <c r="E621" s="2" t="s">
        <v>2037</v>
      </c>
      <c r="F621" s="2" t="s">
        <v>46</v>
      </c>
      <c r="G621" s="2" t="s">
        <v>2038</v>
      </c>
      <c r="H621" s="2" t="s">
        <v>2039</v>
      </c>
      <c r="I621" s="1" t="s">
        <v>351</v>
      </c>
      <c r="J621" s="1" t="s">
        <v>28</v>
      </c>
      <c r="K621" s="6" t="s">
        <v>40</v>
      </c>
      <c r="L621" s="1"/>
    </row>
    <row r="622" spans="1:12" ht="15.75" customHeight="1">
      <c r="A622" s="1" t="s">
        <v>2040</v>
      </c>
      <c r="B622" s="2" t="s">
        <v>2036</v>
      </c>
      <c r="C622" s="2" t="s">
        <v>2031</v>
      </c>
      <c r="D622" s="2" t="s">
        <v>1363</v>
      </c>
      <c r="E622" s="2" t="s">
        <v>2037</v>
      </c>
      <c r="F622" s="2" t="s">
        <v>46</v>
      </c>
      <c r="G622" s="2" t="s">
        <v>2038</v>
      </c>
      <c r="H622" s="2" t="s">
        <v>2041</v>
      </c>
      <c r="I622" s="1" t="s">
        <v>351</v>
      </c>
      <c r="J622" s="1" t="s">
        <v>28</v>
      </c>
      <c r="K622" s="6" t="s">
        <v>40</v>
      </c>
      <c r="L622" s="1"/>
    </row>
    <row r="623" spans="1:12" ht="15.75" customHeight="1">
      <c r="A623" s="1" t="s">
        <v>2042</v>
      </c>
      <c r="B623" s="2" t="s">
        <v>2036</v>
      </c>
      <c r="C623" s="2" t="s">
        <v>2031</v>
      </c>
      <c r="D623" s="2" t="s">
        <v>1363</v>
      </c>
      <c r="E623" s="2" t="s">
        <v>2037</v>
      </c>
      <c r="F623" s="2" t="s">
        <v>46</v>
      </c>
      <c r="G623" s="2" t="s">
        <v>2038</v>
      </c>
      <c r="H623" s="2" t="s">
        <v>2043</v>
      </c>
      <c r="I623" s="1" t="s">
        <v>351</v>
      </c>
      <c r="J623" s="1" t="s">
        <v>28</v>
      </c>
      <c r="K623" s="6" t="s">
        <v>40</v>
      </c>
      <c r="L623" s="1"/>
    </row>
    <row r="624" spans="1:12" ht="15.75" customHeight="1">
      <c r="A624" s="1" t="s">
        <v>2044</v>
      </c>
      <c r="B624" s="2" t="s">
        <v>2036</v>
      </c>
      <c r="C624" s="2" t="s">
        <v>2031</v>
      </c>
      <c r="D624" s="2" t="s">
        <v>1363</v>
      </c>
      <c r="E624" s="2" t="s">
        <v>2037</v>
      </c>
      <c r="F624" s="2" t="s">
        <v>46</v>
      </c>
      <c r="G624" s="2" t="s">
        <v>2038</v>
      </c>
      <c r="H624" s="2" t="s">
        <v>2045</v>
      </c>
      <c r="I624" s="1" t="s">
        <v>18</v>
      </c>
      <c r="J624" s="1" t="s">
        <v>19</v>
      </c>
      <c r="K624" s="6" t="s">
        <v>40</v>
      </c>
      <c r="L624" s="1"/>
    </row>
    <row r="625" spans="1:12" ht="15.75" customHeight="1">
      <c r="A625" s="1" t="s">
        <v>2046</v>
      </c>
      <c r="B625" s="2" t="s">
        <v>2047</v>
      </c>
      <c r="C625" s="2" t="s">
        <v>2031</v>
      </c>
      <c r="D625" s="2" t="s">
        <v>1363</v>
      </c>
      <c r="E625" s="2" t="s">
        <v>2048</v>
      </c>
      <c r="F625" s="2" t="s">
        <v>15</v>
      </c>
      <c r="G625" s="2" t="s">
        <v>2049</v>
      </c>
      <c r="H625" s="2" t="s">
        <v>2050</v>
      </c>
      <c r="I625" s="1" t="s">
        <v>18</v>
      </c>
      <c r="J625" s="1" t="s">
        <v>19</v>
      </c>
      <c r="K625" s="6" t="s">
        <v>40</v>
      </c>
      <c r="L625" s="1"/>
    </row>
    <row r="626" spans="1:12" ht="15.75" customHeight="1">
      <c r="A626" s="1" t="s">
        <v>2051</v>
      </c>
      <c r="B626" s="2" t="s">
        <v>2052</v>
      </c>
      <c r="C626" s="2" t="s">
        <v>2053</v>
      </c>
      <c r="D626" s="2" t="s">
        <v>698</v>
      </c>
      <c r="E626" s="2" t="s">
        <v>2054</v>
      </c>
      <c r="F626" s="2" t="s">
        <v>126</v>
      </c>
      <c r="G626" s="2" t="s">
        <v>2055</v>
      </c>
      <c r="H626" s="2" t="s">
        <v>2056</v>
      </c>
      <c r="I626" s="1" t="s">
        <v>143</v>
      </c>
      <c r="J626" s="1" t="s">
        <v>28</v>
      </c>
      <c r="K626" s="6" t="s">
        <v>40</v>
      </c>
      <c r="L626" s="1"/>
    </row>
    <row r="627" spans="1:12" ht="15.75" customHeight="1">
      <c r="A627" s="1" t="s">
        <v>2057</v>
      </c>
      <c r="B627" s="2" t="s">
        <v>2058</v>
      </c>
      <c r="C627" s="2" t="s">
        <v>2053</v>
      </c>
      <c r="D627" s="2" t="s">
        <v>698</v>
      </c>
      <c r="E627" s="2" t="s">
        <v>2059</v>
      </c>
      <c r="F627" s="2" t="s">
        <v>24</v>
      </c>
      <c r="G627" s="2" t="s">
        <v>2060</v>
      </c>
      <c r="H627" s="2" t="s">
        <v>2061</v>
      </c>
      <c r="I627" s="1" t="s">
        <v>143</v>
      </c>
      <c r="J627" s="1" t="s">
        <v>28</v>
      </c>
      <c r="K627" s="6" t="s">
        <v>40</v>
      </c>
      <c r="L627" s="1"/>
    </row>
    <row r="628" spans="1:12" ht="15.75" customHeight="1">
      <c r="A628" s="1" t="s">
        <v>2062</v>
      </c>
      <c r="B628" s="2" t="s">
        <v>2063</v>
      </c>
      <c r="C628" s="2" t="s">
        <v>2053</v>
      </c>
      <c r="D628" s="2" t="s">
        <v>698</v>
      </c>
      <c r="E628" s="2" t="s">
        <v>2064</v>
      </c>
      <c r="F628" s="2" t="s">
        <v>120</v>
      </c>
      <c r="G628" s="2" t="s">
        <v>2065</v>
      </c>
      <c r="H628" s="2" t="s">
        <v>2066</v>
      </c>
      <c r="I628" s="1" t="s">
        <v>116</v>
      </c>
      <c r="J628" s="1" t="s">
        <v>35</v>
      </c>
      <c r="K628" s="6" t="s">
        <v>40</v>
      </c>
      <c r="L628" s="1"/>
    </row>
    <row r="629" spans="1:12" ht="15.75" customHeight="1">
      <c r="A629" s="1" t="s">
        <v>2067</v>
      </c>
      <c r="B629" s="2" t="s">
        <v>2063</v>
      </c>
      <c r="C629" s="2" t="s">
        <v>2053</v>
      </c>
      <c r="D629" s="2" t="s">
        <v>698</v>
      </c>
      <c r="E629" s="2" t="s">
        <v>2064</v>
      </c>
      <c r="F629" s="2" t="s">
        <v>120</v>
      </c>
      <c r="G629" s="2" t="s">
        <v>2065</v>
      </c>
      <c r="H629" s="2" t="s">
        <v>2068</v>
      </c>
      <c r="I629" s="1" t="s">
        <v>143</v>
      </c>
      <c r="J629" s="1" t="s">
        <v>28</v>
      </c>
      <c r="K629" s="6" t="s">
        <v>40</v>
      </c>
      <c r="L629" s="1"/>
    </row>
    <row r="630" spans="1:12" ht="15.75" customHeight="1">
      <c r="A630" s="1" t="s">
        <v>2069</v>
      </c>
      <c r="B630" s="2" t="s">
        <v>2070</v>
      </c>
      <c r="C630" s="2" t="s">
        <v>2053</v>
      </c>
      <c r="D630" s="2" t="s">
        <v>698</v>
      </c>
      <c r="E630" s="2" t="s">
        <v>2071</v>
      </c>
      <c r="F630" s="2" t="s">
        <v>126</v>
      </c>
      <c r="G630" s="8" t="s">
        <v>2072</v>
      </c>
      <c r="H630" s="2" t="s">
        <v>2073</v>
      </c>
      <c r="I630" s="1" t="s">
        <v>143</v>
      </c>
      <c r="J630" s="1" t="s">
        <v>28</v>
      </c>
      <c r="K630" s="6" t="s">
        <v>40</v>
      </c>
      <c r="L630" s="1"/>
    </row>
    <row r="631" spans="1:12" ht="15.75" customHeight="1">
      <c r="A631" s="1" t="s">
        <v>2074</v>
      </c>
      <c r="B631" s="2" t="s">
        <v>2075</v>
      </c>
      <c r="C631" s="2" t="s">
        <v>2053</v>
      </c>
      <c r="D631" s="2" t="s">
        <v>698</v>
      </c>
      <c r="E631" s="2" t="s">
        <v>2076</v>
      </c>
      <c r="F631" s="2" t="s">
        <v>15</v>
      </c>
      <c r="G631" s="8" t="s">
        <v>2077</v>
      </c>
      <c r="H631" s="2" t="s">
        <v>2078</v>
      </c>
      <c r="I631" s="1" t="s">
        <v>143</v>
      </c>
      <c r="J631" s="1" t="s">
        <v>28</v>
      </c>
      <c r="K631" s="6" t="s">
        <v>40</v>
      </c>
      <c r="L631" s="1"/>
    </row>
    <row r="632" spans="1:12" ht="15.75" customHeight="1">
      <c r="A632" s="1" t="s">
        <v>2079</v>
      </c>
      <c r="B632" s="2" t="s">
        <v>2070</v>
      </c>
      <c r="C632" s="2" t="s">
        <v>2053</v>
      </c>
      <c r="D632" s="2" t="s">
        <v>698</v>
      </c>
      <c r="E632" s="2" t="s">
        <v>2071</v>
      </c>
      <c r="F632" s="2" t="s">
        <v>126</v>
      </c>
      <c r="G632" s="8" t="s">
        <v>2072</v>
      </c>
      <c r="H632" s="4" t="s">
        <v>2080</v>
      </c>
      <c r="I632" s="1" t="s">
        <v>143</v>
      </c>
      <c r="J632" s="1" t="s">
        <v>28</v>
      </c>
      <c r="K632" s="6" t="s">
        <v>40</v>
      </c>
      <c r="L632" s="1"/>
    </row>
    <row r="633" spans="1:12" ht="15.75" customHeight="1">
      <c r="A633" s="1" t="s">
        <v>2081</v>
      </c>
      <c r="B633" s="2" t="s">
        <v>2070</v>
      </c>
      <c r="C633" s="2" t="s">
        <v>2053</v>
      </c>
      <c r="D633" s="2" t="s">
        <v>698</v>
      </c>
      <c r="E633" s="2" t="s">
        <v>2071</v>
      </c>
      <c r="F633" s="2" t="s">
        <v>126</v>
      </c>
      <c r="G633" s="2" t="s">
        <v>2072</v>
      </c>
      <c r="H633" s="2" t="s">
        <v>2082</v>
      </c>
      <c r="I633" s="1" t="s">
        <v>143</v>
      </c>
      <c r="J633" s="1" t="s">
        <v>28</v>
      </c>
      <c r="K633" s="6" t="s">
        <v>40</v>
      </c>
      <c r="L633" s="1"/>
    </row>
    <row r="634" spans="1:12" ht="15.75" customHeight="1">
      <c r="A634" s="1" t="s">
        <v>2083</v>
      </c>
      <c r="B634" s="2" t="s">
        <v>2084</v>
      </c>
      <c r="C634" s="2" t="s">
        <v>2053</v>
      </c>
      <c r="D634" s="2" t="s">
        <v>698</v>
      </c>
      <c r="E634" s="2" t="s">
        <v>2085</v>
      </c>
      <c r="F634" s="2" t="s">
        <v>120</v>
      </c>
      <c r="G634" s="8" t="s">
        <v>2086</v>
      </c>
      <c r="H634" s="2" t="s">
        <v>2087</v>
      </c>
      <c r="I634" s="1" t="s">
        <v>116</v>
      </c>
      <c r="J634" s="1" t="s">
        <v>35</v>
      </c>
      <c r="K634" s="6" t="s">
        <v>40</v>
      </c>
      <c r="L634" s="1"/>
    </row>
    <row r="635" spans="1:12" ht="15.75" customHeight="1">
      <c r="A635" s="1" t="s">
        <v>2088</v>
      </c>
      <c r="B635" s="2" t="s">
        <v>2070</v>
      </c>
      <c r="C635" s="2" t="s">
        <v>2053</v>
      </c>
      <c r="D635" s="2" t="s">
        <v>698</v>
      </c>
      <c r="E635" s="2" t="s">
        <v>2071</v>
      </c>
      <c r="F635" s="2" t="s">
        <v>126</v>
      </c>
      <c r="G635" s="8" t="s">
        <v>2072</v>
      </c>
      <c r="H635" s="2" t="s">
        <v>2089</v>
      </c>
      <c r="I635" s="1" t="s">
        <v>143</v>
      </c>
      <c r="J635" s="1" t="s">
        <v>28</v>
      </c>
      <c r="K635" s="6" t="s">
        <v>40</v>
      </c>
      <c r="L635" s="1"/>
    </row>
    <row r="636" spans="1:12" ht="15.75" customHeight="1">
      <c r="A636" s="1" t="s">
        <v>2090</v>
      </c>
      <c r="B636" s="2" t="s">
        <v>2084</v>
      </c>
      <c r="C636" s="2" t="s">
        <v>2053</v>
      </c>
      <c r="D636" s="2" t="s">
        <v>698</v>
      </c>
      <c r="E636" s="2" t="s">
        <v>2085</v>
      </c>
      <c r="F636" s="2" t="s">
        <v>120</v>
      </c>
      <c r="G636" s="8" t="s">
        <v>2086</v>
      </c>
      <c r="H636" s="2" t="s">
        <v>2091</v>
      </c>
      <c r="I636" s="1" t="s">
        <v>143</v>
      </c>
      <c r="J636" s="1" t="s">
        <v>28</v>
      </c>
      <c r="K636" s="6" t="s">
        <v>40</v>
      </c>
      <c r="L636" s="1"/>
    </row>
    <row r="637" spans="1:12" ht="15.75" customHeight="1">
      <c r="A637" s="1" t="s">
        <v>2092</v>
      </c>
      <c r="B637" s="2" t="s">
        <v>2063</v>
      </c>
      <c r="C637" s="2" t="s">
        <v>2053</v>
      </c>
      <c r="D637" s="2" t="s">
        <v>698</v>
      </c>
      <c r="E637" s="2" t="s">
        <v>2064</v>
      </c>
      <c r="F637" s="2" t="s">
        <v>120</v>
      </c>
      <c r="G637" s="8" t="s">
        <v>2065</v>
      </c>
      <c r="H637" s="2" t="s">
        <v>2093</v>
      </c>
      <c r="I637" s="1" t="s">
        <v>116</v>
      </c>
      <c r="J637" s="1" t="s">
        <v>35</v>
      </c>
      <c r="K637" s="6" t="s">
        <v>40</v>
      </c>
      <c r="L637" s="1"/>
    </row>
    <row r="638" spans="1:12" ht="15.75" customHeight="1">
      <c r="A638" s="1" t="s">
        <v>2094</v>
      </c>
      <c r="B638" s="2" t="s">
        <v>2095</v>
      </c>
      <c r="C638" s="2" t="s">
        <v>2053</v>
      </c>
      <c r="D638" s="2" t="s">
        <v>698</v>
      </c>
      <c r="E638" s="2" t="s">
        <v>2096</v>
      </c>
      <c r="F638" s="2" t="s">
        <v>126</v>
      </c>
      <c r="G638" s="8" t="s">
        <v>2097</v>
      </c>
      <c r="H638" s="2" t="s">
        <v>2098</v>
      </c>
      <c r="I638" s="1" t="s">
        <v>116</v>
      </c>
      <c r="J638" s="1" t="s">
        <v>35</v>
      </c>
      <c r="K638" s="6" t="s">
        <v>40</v>
      </c>
      <c r="L638" s="1"/>
    </row>
    <row r="639" spans="1:12" ht="15.75" customHeight="1">
      <c r="A639" s="1" t="s">
        <v>2099</v>
      </c>
      <c r="B639" s="2" t="s">
        <v>2052</v>
      </c>
      <c r="C639" s="2" t="s">
        <v>2053</v>
      </c>
      <c r="D639" s="2" t="s">
        <v>698</v>
      </c>
      <c r="E639" s="2" t="s">
        <v>2054</v>
      </c>
      <c r="F639" s="2" t="s">
        <v>126</v>
      </c>
      <c r="G639" s="8" t="s">
        <v>2055</v>
      </c>
      <c r="H639" s="2" t="s">
        <v>2100</v>
      </c>
      <c r="I639" s="1" t="s">
        <v>116</v>
      </c>
      <c r="J639" s="1" t="s">
        <v>35</v>
      </c>
      <c r="K639" s="6" t="s">
        <v>40</v>
      </c>
      <c r="L639" s="1"/>
    </row>
    <row r="640" spans="1:12" ht="15.75" customHeight="1">
      <c r="A640" s="1" t="s">
        <v>2101</v>
      </c>
      <c r="B640" s="2" t="s">
        <v>2084</v>
      </c>
      <c r="C640" s="2" t="s">
        <v>2053</v>
      </c>
      <c r="D640" s="2" t="s">
        <v>698</v>
      </c>
      <c r="E640" s="2" t="s">
        <v>2085</v>
      </c>
      <c r="F640" s="2" t="s">
        <v>120</v>
      </c>
      <c r="G640" s="2" t="s">
        <v>2086</v>
      </c>
      <c r="H640" s="2" t="s">
        <v>2102</v>
      </c>
      <c r="I640" s="1" t="s">
        <v>116</v>
      </c>
      <c r="J640" s="1" t="s">
        <v>35</v>
      </c>
      <c r="K640" s="6" t="s">
        <v>40</v>
      </c>
      <c r="L640" s="1"/>
    </row>
    <row r="641" spans="1:12" ht="15.75" customHeight="1">
      <c r="A641" s="1" t="s">
        <v>2103</v>
      </c>
      <c r="B641" s="2" t="s">
        <v>2070</v>
      </c>
      <c r="C641" s="2" t="s">
        <v>2053</v>
      </c>
      <c r="D641" s="2" t="s">
        <v>698</v>
      </c>
      <c r="E641" s="2" t="s">
        <v>2071</v>
      </c>
      <c r="F641" s="2" t="s">
        <v>126</v>
      </c>
      <c r="G641" s="2" t="s">
        <v>2072</v>
      </c>
      <c r="H641" s="2" t="s">
        <v>2104</v>
      </c>
      <c r="I641" s="1" t="s">
        <v>143</v>
      </c>
      <c r="J641" s="1" t="s">
        <v>28</v>
      </c>
      <c r="K641" s="6" t="s">
        <v>40</v>
      </c>
      <c r="L641" s="1"/>
    </row>
    <row r="642" spans="1:12" ht="15.75" customHeight="1">
      <c r="A642" s="1" t="s">
        <v>2105</v>
      </c>
      <c r="B642" s="2" t="s">
        <v>2106</v>
      </c>
      <c r="C642" s="2" t="s">
        <v>2053</v>
      </c>
      <c r="D642" s="2" t="s">
        <v>698</v>
      </c>
      <c r="E642" s="2" t="s">
        <v>2107</v>
      </c>
      <c r="F642" s="2" t="s">
        <v>180</v>
      </c>
      <c r="G642" s="8" t="s">
        <v>2108</v>
      </c>
      <c r="H642" s="2" t="s">
        <v>2109</v>
      </c>
      <c r="I642" s="1" t="s">
        <v>116</v>
      </c>
      <c r="J642" s="1" t="s">
        <v>35</v>
      </c>
      <c r="K642" s="6" t="s">
        <v>40</v>
      </c>
      <c r="L642" s="1"/>
    </row>
    <row r="643" spans="1:12" ht="15.75" customHeight="1">
      <c r="A643" s="1" t="s">
        <v>2110</v>
      </c>
      <c r="B643" s="2" t="s">
        <v>2070</v>
      </c>
      <c r="C643" s="2" t="s">
        <v>2053</v>
      </c>
      <c r="D643" s="2" t="s">
        <v>698</v>
      </c>
      <c r="E643" s="2" t="s">
        <v>2071</v>
      </c>
      <c r="F643" s="2" t="s">
        <v>126</v>
      </c>
      <c r="G643" s="2" t="s">
        <v>2072</v>
      </c>
      <c r="H643" s="2" t="s">
        <v>2111</v>
      </c>
      <c r="I643" s="1" t="s">
        <v>143</v>
      </c>
      <c r="J643" s="1" t="s">
        <v>28</v>
      </c>
      <c r="K643" s="6" t="s">
        <v>40</v>
      </c>
      <c r="L643" s="1"/>
    </row>
    <row r="644" spans="1:12" ht="15.75" customHeight="1">
      <c r="A644" s="1" t="s">
        <v>2112</v>
      </c>
      <c r="B644" s="2" t="s">
        <v>2075</v>
      </c>
      <c r="C644" s="2" t="s">
        <v>2053</v>
      </c>
      <c r="D644" s="2" t="s">
        <v>698</v>
      </c>
      <c r="E644" s="2" t="s">
        <v>2076</v>
      </c>
      <c r="F644" s="2" t="s">
        <v>15</v>
      </c>
      <c r="G644" s="8" t="s">
        <v>2077</v>
      </c>
      <c r="H644" s="2" t="s">
        <v>2113</v>
      </c>
      <c r="I644" s="1" t="s">
        <v>143</v>
      </c>
      <c r="J644" s="1" t="s">
        <v>28</v>
      </c>
      <c r="K644" s="6" t="s">
        <v>40</v>
      </c>
      <c r="L644" s="1"/>
    </row>
    <row r="645" spans="1:12" ht="15.75" customHeight="1">
      <c r="A645" s="1" t="s">
        <v>2114</v>
      </c>
      <c r="B645" s="2" t="s">
        <v>2075</v>
      </c>
      <c r="C645" s="2" t="s">
        <v>2053</v>
      </c>
      <c r="D645" s="2" t="s">
        <v>698</v>
      </c>
      <c r="E645" s="2" t="s">
        <v>2076</v>
      </c>
      <c r="F645" s="2" t="s">
        <v>15</v>
      </c>
      <c r="G645" s="2" t="s">
        <v>2077</v>
      </c>
      <c r="H645" s="2" t="s">
        <v>2115</v>
      </c>
      <c r="I645" s="1" t="s">
        <v>143</v>
      </c>
      <c r="J645" s="1" t="s">
        <v>28</v>
      </c>
      <c r="K645" s="6" t="s">
        <v>40</v>
      </c>
      <c r="L645" s="1"/>
    </row>
    <row r="646" spans="1:12" ht="15.75" customHeight="1">
      <c r="A646" s="1" t="s">
        <v>2116</v>
      </c>
      <c r="B646" s="2" t="s">
        <v>2052</v>
      </c>
      <c r="C646" s="2" t="s">
        <v>2053</v>
      </c>
      <c r="D646" s="2" t="s">
        <v>698</v>
      </c>
      <c r="E646" s="2" t="s">
        <v>2054</v>
      </c>
      <c r="F646" s="2" t="s">
        <v>126</v>
      </c>
      <c r="G646" s="2" t="s">
        <v>2055</v>
      </c>
      <c r="H646" s="2" t="s">
        <v>2117</v>
      </c>
      <c r="I646" s="1" t="s">
        <v>143</v>
      </c>
      <c r="J646" s="1" t="s">
        <v>28</v>
      </c>
      <c r="K646" s="6" t="s">
        <v>40</v>
      </c>
      <c r="L646" s="1"/>
    </row>
    <row r="647" spans="1:12" ht="15.75" customHeight="1">
      <c r="A647" s="1" t="s">
        <v>2118</v>
      </c>
      <c r="B647" s="2" t="s">
        <v>2052</v>
      </c>
      <c r="C647" s="2" t="s">
        <v>2053</v>
      </c>
      <c r="D647" s="2" t="s">
        <v>698</v>
      </c>
      <c r="E647" s="2" t="s">
        <v>2054</v>
      </c>
      <c r="F647" s="2" t="s">
        <v>126</v>
      </c>
      <c r="G647" s="2" t="s">
        <v>2055</v>
      </c>
      <c r="H647" s="2" t="s">
        <v>2119</v>
      </c>
      <c r="I647" s="1" t="s">
        <v>116</v>
      </c>
      <c r="J647" s="1" t="s">
        <v>35</v>
      </c>
      <c r="K647" s="6" t="s">
        <v>40</v>
      </c>
      <c r="L647" s="1"/>
    </row>
    <row r="648" spans="1:12" ht="15.75" customHeight="1">
      <c r="A648" s="1" t="s">
        <v>2120</v>
      </c>
      <c r="B648" s="2" t="s">
        <v>2052</v>
      </c>
      <c r="C648" s="2" t="s">
        <v>2053</v>
      </c>
      <c r="D648" s="2" t="s">
        <v>698</v>
      </c>
      <c r="E648" s="2" t="s">
        <v>2054</v>
      </c>
      <c r="F648" s="2" t="s">
        <v>126</v>
      </c>
      <c r="G648" s="2" t="s">
        <v>2055</v>
      </c>
      <c r="H648" s="2" t="s">
        <v>2121</v>
      </c>
      <c r="I648" s="1" t="s">
        <v>143</v>
      </c>
      <c r="J648" s="1" t="s">
        <v>28</v>
      </c>
      <c r="K648" s="6" t="s">
        <v>40</v>
      </c>
      <c r="L648" s="1"/>
    </row>
    <row r="649" spans="1:12" ht="15.75" customHeight="1">
      <c r="A649" s="1" t="s">
        <v>2122</v>
      </c>
      <c r="B649" s="2" t="s">
        <v>2123</v>
      </c>
      <c r="C649" s="2" t="s">
        <v>2053</v>
      </c>
      <c r="D649" s="2" t="s">
        <v>698</v>
      </c>
      <c r="E649" s="2" t="s">
        <v>2124</v>
      </c>
      <c r="F649" s="2" t="s">
        <v>15</v>
      </c>
      <c r="G649" s="8" t="s">
        <v>2125</v>
      </c>
      <c r="H649" s="2" t="s">
        <v>2126</v>
      </c>
      <c r="I649" s="1" t="s">
        <v>116</v>
      </c>
      <c r="J649" s="1" t="s">
        <v>35</v>
      </c>
      <c r="K649" s="6" t="s">
        <v>40</v>
      </c>
      <c r="L649" s="1"/>
    </row>
    <row r="650" spans="1:12" ht="15.75" customHeight="1">
      <c r="A650" s="1" t="s">
        <v>2127</v>
      </c>
      <c r="B650" s="2" t="s">
        <v>2128</v>
      </c>
      <c r="C650" s="2" t="s">
        <v>2053</v>
      </c>
      <c r="D650" s="2" t="s">
        <v>698</v>
      </c>
      <c r="E650" s="2" t="s">
        <v>2129</v>
      </c>
      <c r="F650" s="2" t="s">
        <v>180</v>
      </c>
      <c r="G650" s="8" t="s">
        <v>2130</v>
      </c>
      <c r="H650" s="2" t="s">
        <v>2131</v>
      </c>
      <c r="I650" s="1" t="s">
        <v>143</v>
      </c>
      <c r="J650" s="1" t="s">
        <v>28</v>
      </c>
      <c r="K650" s="6" t="s">
        <v>40</v>
      </c>
      <c r="L650" s="1"/>
    </row>
    <row r="651" spans="1:12" ht="15.75" customHeight="1">
      <c r="A651" s="1" t="s">
        <v>2132</v>
      </c>
      <c r="B651" s="2" t="s">
        <v>2128</v>
      </c>
      <c r="C651" s="2" t="s">
        <v>2053</v>
      </c>
      <c r="D651" s="2" t="s">
        <v>698</v>
      </c>
      <c r="E651" s="2" t="s">
        <v>2129</v>
      </c>
      <c r="F651" s="2" t="s">
        <v>180</v>
      </c>
      <c r="G651" s="2" t="s">
        <v>2130</v>
      </c>
      <c r="H651" s="2" t="s">
        <v>2133</v>
      </c>
      <c r="I651" s="1" t="s">
        <v>143</v>
      </c>
      <c r="J651" s="1" t="s">
        <v>28</v>
      </c>
      <c r="K651" s="6" t="s">
        <v>40</v>
      </c>
      <c r="L651" s="1"/>
    </row>
    <row r="652" spans="1:12" ht="15.75" customHeight="1">
      <c r="A652" s="1" t="s">
        <v>2134</v>
      </c>
      <c r="B652" s="2" t="s">
        <v>2135</v>
      </c>
      <c r="C652" s="2" t="s">
        <v>2053</v>
      </c>
      <c r="D652" s="2" t="s">
        <v>698</v>
      </c>
      <c r="E652" s="2" t="s">
        <v>2136</v>
      </c>
      <c r="F652" s="2" t="s">
        <v>15</v>
      </c>
      <c r="G652" s="8" t="s">
        <v>2137</v>
      </c>
      <c r="H652" s="2" t="s">
        <v>2138</v>
      </c>
      <c r="I652" s="1" t="s">
        <v>143</v>
      </c>
      <c r="J652" s="1" t="s">
        <v>28</v>
      </c>
      <c r="K652" s="6" t="s">
        <v>40</v>
      </c>
      <c r="L652" s="1"/>
    </row>
    <row r="653" spans="1:12" ht="15.75" customHeight="1">
      <c r="A653" s="1" t="s">
        <v>2139</v>
      </c>
      <c r="B653" s="2" t="s">
        <v>2063</v>
      </c>
      <c r="C653" s="2" t="s">
        <v>2053</v>
      </c>
      <c r="D653" s="2" t="s">
        <v>698</v>
      </c>
      <c r="E653" s="2" t="s">
        <v>2064</v>
      </c>
      <c r="F653" s="2" t="s">
        <v>120</v>
      </c>
      <c r="G653" s="2" t="s">
        <v>2065</v>
      </c>
      <c r="H653" s="2" t="s">
        <v>2140</v>
      </c>
      <c r="I653" s="1" t="s">
        <v>116</v>
      </c>
      <c r="J653" s="1" t="s">
        <v>35</v>
      </c>
      <c r="K653" s="6" t="s">
        <v>40</v>
      </c>
      <c r="L653" s="1"/>
    </row>
    <row r="654" spans="1:12" ht="15.75" customHeight="1">
      <c r="A654" s="1" t="s">
        <v>2141</v>
      </c>
      <c r="B654" s="2" t="s">
        <v>2084</v>
      </c>
      <c r="C654" s="2" t="s">
        <v>2053</v>
      </c>
      <c r="D654" s="2" t="s">
        <v>698</v>
      </c>
      <c r="E654" s="2" t="s">
        <v>2085</v>
      </c>
      <c r="F654" s="2" t="s">
        <v>120</v>
      </c>
      <c r="G654" s="2" t="s">
        <v>2086</v>
      </c>
      <c r="H654" s="2" t="s">
        <v>2142</v>
      </c>
      <c r="I654" s="1" t="s">
        <v>100</v>
      </c>
      <c r="J654" s="1" t="s">
        <v>78</v>
      </c>
      <c r="K654" s="6" t="s">
        <v>40</v>
      </c>
      <c r="L654" s="1"/>
    </row>
    <row r="655" spans="1:12" ht="15.75" customHeight="1">
      <c r="A655" s="1" t="s">
        <v>2143</v>
      </c>
      <c r="B655" s="2" t="s">
        <v>2095</v>
      </c>
      <c r="C655" s="2" t="s">
        <v>2053</v>
      </c>
      <c r="D655" s="2" t="s">
        <v>698</v>
      </c>
      <c r="E655" s="2" t="s">
        <v>2096</v>
      </c>
      <c r="F655" s="2" t="s">
        <v>126</v>
      </c>
      <c r="G655" s="8" t="s">
        <v>2097</v>
      </c>
      <c r="H655" s="2" t="s">
        <v>2144</v>
      </c>
      <c r="I655" s="1" t="s">
        <v>143</v>
      </c>
      <c r="J655" s="1" t="s">
        <v>28</v>
      </c>
      <c r="K655" s="6" t="s">
        <v>40</v>
      </c>
      <c r="L655" s="1"/>
    </row>
    <row r="656" spans="1:12" ht="15.75" customHeight="1">
      <c r="A656" s="1" t="s">
        <v>2145</v>
      </c>
      <c r="B656" s="2" t="s">
        <v>2058</v>
      </c>
      <c r="C656" s="2" t="s">
        <v>2053</v>
      </c>
      <c r="D656" s="2" t="s">
        <v>698</v>
      </c>
      <c r="E656" s="2" t="s">
        <v>2059</v>
      </c>
      <c r="F656" s="2" t="s">
        <v>24</v>
      </c>
      <c r="G656" s="8" t="s">
        <v>2060</v>
      </c>
      <c r="H656" s="2" t="s">
        <v>2146</v>
      </c>
      <c r="I656" s="1" t="s">
        <v>116</v>
      </c>
      <c r="J656" s="1" t="s">
        <v>35</v>
      </c>
      <c r="K656" s="6" t="s">
        <v>40</v>
      </c>
      <c r="L656" s="1"/>
    </row>
    <row r="657" spans="1:12" ht="15.75" customHeight="1">
      <c r="A657" s="1" t="s">
        <v>2147</v>
      </c>
      <c r="B657" s="2" t="s">
        <v>2148</v>
      </c>
      <c r="C657" s="2" t="s">
        <v>2053</v>
      </c>
      <c r="D657" s="2" t="s">
        <v>698</v>
      </c>
      <c r="E657" s="2" t="s">
        <v>2149</v>
      </c>
      <c r="F657" s="2" t="s">
        <v>126</v>
      </c>
      <c r="G657" s="8" t="s">
        <v>2150</v>
      </c>
      <c r="H657" s="2" t="s">
        <v>2151</v>
      </c>
      <c r="I657" s="1" t="s">
        <v>143</v>
      </c>
      <c r="J657" s="1" t="s">
        <v>28</v>
      </c>
      <c r="K657" s="6" t="s">
        <v>40</v>
      </c>
      <c r="L657" s="1"/>
    </row>
    <row r="658" spans="1:12" ht="15.75" customHeight="1">
      <c r="A658" s="1" t="s">
        <v>2152</v>
      </c>
      <c r="B658" s="2" t="s">
        <v>2153</v>
      </c>
      <c r="C658" s="2" t="s">
        <v>2053</v>
      </c>
      <c r="D658" s="2" t="s">
        <v>698</v>
      </c>
      <c r="E658" s="2" t="s">
        <v>2154</v>
      </c>
      <c r="F658" s="2" t="s">
        <v>24</v>
      </c>
      <c r="G658" s="8" t="s">
        <v>2155</v>
      </c>
      <c r="H658" s="2" t="s">
        <v>2156</v>
      </c>
      <c r="I658" s="1" t="s">
        <v>143</v>
      </c>
      <c r="J658" s="1" t="s">
        <v>28</v>
      </c>
      <c r="K658" s="6" t="s">
        <v>40</v>
      </c>
      <c r="L658" s="1"/>
    </row>
    <row r="659" spans="1:12" ht="15.75" customHeight="1">
      <c r="A659" s="1" t="s">
        <v>2157</v>
      </c>
      <c r="B659" s="2" t="s">
        <v>2148</v>
      </c>
      <c r="C659" s="2" t="s">
        <v>2053</v>
      </c>
      <c r="D659" s="2" t="s">
        <v>698</v>
      </c>
      <c r="E659" s="2" t="s">
        <v>2149</v>
      </c>
      <c r="F659" s="2" t="s">
        <v>126</v>
      </c>
      <c r="G659" s="2" t="s">
        <v>2150</v>
      </c>
      <c r="H659" s="2" t="s">
        <v>2158</v>
      </c>
      <c r="I659" s="1" t="s">
        <v>143</v>
      </c>
      <c r="J659" s="1" t="s">
        <v>28</v>
      </c>
      <c r="K659" s="6" t="s">
        <v>40</v>
      </c>
      <c r="L659" s="1"/>
    </row>
    <row r="660" spans="1:12" ht="15.75" customHeight="1">
      <c r="A660" s="1" t="s">
        <v>2159</v>
      </c>
      <c r="B660" s="2" t="s">
        <v>2148</v>
      </c>
      <c r="C660" s="2" t="s">
        <v>2053</v>
      </c>
      <c r="D660" s="2" t="s">
        <v>698</v>
      </c>
      <c r="E660" s="2" t="s">
        <v>2149</v>
      </c>
      <c r="F660" s="2" t="s">
        <v>126</v>
      </c>
      <c r="G660" s="2" t="s">
        <v>2150</v>
      </c>
      <c r="H660" s="2" t="s">
        <v>2160</v>
      </c>
      <c r="I660" s="1" t="s">
        <v>143</v>
      </c>
      <c r="J660" s="1" t="s">
        <v>28</v>
      </c>
      <c r="K660" s="6" t="s">
        <v>40</v>
      </c>
      <c r="L660" s="1"/>
    </row>
    <row r="661" spans="1:12" ht="15.75" customHeight="1">
      <c r="A661" s="1" t="s">
        <v>2161</v>
      </c>
      <c r="B661" s="2" t="s">
        <v>2162</v>
      </c>
      <c r="C661" s="2" t="s">
        <v>2053</v>
      </c>
      <c r="D661" s="2" t="s">
        <v>698</v>
      </c>
      <c r="E661" s="2" t="s">
        <v>2163</v>
      </c>
      <c r="F661" s="2" t="s">
        <v>120</v>
      </c>
      <c r="G661" s="8" t="s">
        <v>2164</v>
      </c>
      <c r="H661" s="2" t="s">
        <v>2165</v>
      </c>
      <c r="I661" s="1" t="s">
        <v>116</v>
      </c>
      <c r="J661" s="1" t="s">
        <v>35</v>
      </c>
      <c r="K661" s="6" t="s">
        <v>40</v>
      </c>
      <c r="L661" s="1"/>
    </row>
    <row r="662" spans="1:12" ht="15.75" customHeight="1">
      <c r="A662" s="1" t="s">
        <v>2166</v>
      </c>
      <c r="B662" s="2" t="s">
        <v>2162</v>
      </c>
      <c r="C662" s="2" t="s">
        <v>2053</v>
      </c>
      <c r="D662" s="2" t="s">
        <v>698</v>
      </c>
      <c r="E662" s="2" t="s">
        <v>2163</v>
      </c>
      <c r="F662" s="2" t="s">
        <v>120</v>
      </c>
      <c r="G662" s="2" t="s">
        <v>2164</v>
      </c>
      <c r="H662" s="2" t="s">
        <v>2167</v>
      </c>
      <c r="I662" s="1" t="s">
        <v>143</v>
      </c>
      <c r="J662" s="1" t="s">
        <v>28</v>
      </c>
      <c r="K662" s="6" t="s">
        <v>40</v>
      </c>
      <c r="L662" s="1"/>
    </row>
    <row r="663" spans="1:12" ht="15.75" customHeight="1">
      <c r="A663" s="1" t="s">
        <v>2168</v>
      </c>
      <c r="B663" s="2" t="s">
        <v>2123</v>
      </c>
      <c r="C663" s="2" t="s">
        <v>2053</v>
      </c>
      <c r="D663" s="2" t="s">
        <v>698</v>
      </c>
      <c r="E663" s="2" t="s">
        <v>2124</v>
      </c>
      <c r="F663" s="2" t="s">
        <v>15</v>
      </c>
      <c r="G663" s="2" t="s">
        <v>2125</v>
      </c>
      <c r="H663" s="2" t="s">
        <v>2169</v>
      </c>
      <c r="I663" s="1" t="s">
        <v>100</v>
      </c>
      <c r="J663" s="1" t="s">
        <v>78</v>
      </c>
      <c r="K663" s="6" t="s">
        <v>40</v>
      </c>
      <c r="L663" s="1"/>
    </row>
    <row r="664" spans="1:12" ht="15.75" customHeight="1">
      <c r="A664" s="1" t="s">
        <v>2170</v>
      </c>
      <c r="B664" s="2" t="s">
        <v>2063</v>
      </c>
      <c r="C664" s="2" t="s">
        <v>2053</v>
      </c>
      <c r="D664" s="2" t="s">
        <v>698</v>
      </c>
      <c r="E664" s="2" t="s">
        <v>2064</v>
      </c>
      <c r="F664" s="2" t="s">
        <v>120</v>
      </c>
      <c r="G664" s="2" t="s">
        <v>2065</v>
      </c>
      <c r="H664" s="2" t="s">
        <v>2171</v>
      </c>
      <c r="I664" s="1" t="s">
        <v>100</v>
      </c>
      <c r="J664" s="1" t="s">
        <v>78</v>
      </c>
      <c r="K664" s="6" t="s">
        <v>40</v>
      </c>
      <c r="L664" s="1"/>
    </row>
    <row r="665" spans="1:12" ht="15.75" customHeight="1">
      <c r="A665" s="1" t="s">
        <v>2172</v>
      </c>
      <c r="B665" s="2" t="s">
        <v>2070</v>
      </c>
      <c r="C665" s="2" t="s">
        <v>2053</v>
      </c>
      <c r="D665" s="2" t="s">
        <v>698</v>
      </c>
      <c r="E665" s="2" t="s">
        <v>2071</v>
      </c>
      <c r="F665" s="2" t="s">
        <v>126</v>
      </c>
      <c r="G665" s="2" t="s">
        <v>2072</v>
      </c>
      <c r="H665" s="2" t="s">
        <v>2173</v>
      </c>
      <c r="I665" s="1" t="s">
        <v>143</v>
      </c>
      <c r="J665" s="1" t="s">
        <v>28</v>
      </c>
      <c r="K665" s="6" t="s">
        <v>40</v>
      </c>
      <c r="L665" s="1"/>
    </row>
    <row r="666" spans="1:12" ht="15.75" customHeight="1">
      <c r="A666" s="1" t="s">
        <v>2174</v>
      </c>
      <c r="B666" s="2" t="s">
        <v>2052</v>
      </c>
      <c r="C666" s="2" t="s">
        <v>2053</v>
      </c>
      <c r="D666" s="2" t="s">
        <v>698</v>
      </c>
      <c r="E666" s="2" t="s">
        <v>2054</v>
      </c>
      <c r="F666" s="2" t="s">
        <v>126</v>
      </c>
      <c r="G666" s="2" t="s">
        <v>2055</v>
      </c>
      <c r="H666" s="2" t="s">
        <v>2175</v>
      </c>
      <c r="I666" s="1" t="s">
        <v>143</v>
      </c>
      <c r="J666" s="1" t="s">
        <v>28</v>
      </c>
      <c r="K666" s="6" t="s">
        <v>40</v>
      </c>
      <c r="L666" s="1"/>
    </row>
    <row r="667" spans="1:12" ht="15.75" customHeight="1">
      <c r="A667" s="1" t="s">
        <v>2176</v>
      </c>
      <c r="B667" s="2" t="s">
        <v>2148</v>
      </c>
      <c r="C667" s="2" t="s">
        <v>2053</v>
      </c>
      <c r="D667" s="2" t="s">
        <v>698</v>
      </c>
      <c r="E667" s="2" t="s">
        <v>2149</v>
      </c>
      <c r="F667" s="2" t="s">
        <v>126</v>
      </c>
      <c r="G667" s="2" t="s">
        <v>2150</v>
      </c>
      <c r="H667" s="2" t="s">
        <v>2177</v>
      </c>
      <c r="I667" s="1" t="s">
        <v>143</v>
      </c>
      <c r="J667" s="1" t="s">
        <v>28</v>
      </c>
      <c r="K667" s="6" t="s">
        <v>40</v>
      </c>
      <c r="L667" s="1"/>
    </row>
    <row r="668" spans="1:12" ht="15.75" customHeight="1">
      <c r="A668" s="1" t="s">
        <v>2178</v>
      </c>
      <c r="B668" s="2" t="s">
        <v>2106</v>
      </c>
      <c r="C668" s="2" t="s">
        <v>2053</v>
      </c>
      <c r="D668" s="2" t="s">
        <v>698</v>
      </c>
      <c r="E668" s="2" t="s">
        <v>2107</v>
      </c>
      <c r="F668" s="2" t="s">
        <v>180</v>
      </c>
      <c r="G668" s="2" t="s">
        <v>2108</v>
      </c>
      <c r="H668" s="2" t="s">
        <v>2179</v>
      </c>
      <c r="I668" s="1" t="s">
        <v>143</v>
      </c>
      <c r="J668" s="1" t="s">
        <v>28</v>
      </c>
      <c r="K668" s="6" t="s">
        <v>40</v>
      </c>
      <c r="L668" s="1"/>
    </row>
    <row r="669" spans="1:12" ht="15.75" customHeight="1">
      <c r="A669" s="1" t="s">
        <v>2180</v>
      </c>
      <c r="B669" s="2" t="s">
        <v>2123</v>
      </c>
      <c r="C669" s="2" t="s">
        <v>2053</v>
      </c>
      <c r="D669" s="2" t="s">
        <v>698</v>
      </c>
      <c r="E669" s="2" t="s">
        <v>2124</v>
      </c>
      <c r="F669" s="2" t="s">
        <v>15</v>
      </c>
      <c r="G669" s="2" t="s">
        <v>2125</v>
      </c>
      <c r="H669" s="2" t="s">
        <v>2181</v>
      </c>
      <c r="I669" s="1" t="s">
        <v>100</v>
      </c>
      <c r="J669" s="1" t="s">
        <v>78</v>
      </c>
      <c r="K669" s="6" t="s">
        <v>40</v>
      </c>
      <c r="L669" s="1"/>
    </row>
    <row r="670" spans="1:12" ht="15.75" customHeight="1">
      <c r="A670" s="1" t="s">
        <v>2182</v>
      </c>
      <c r="B670" s="2" t="s">
        <v>2095</v>
      </c>
      <c r="C670" s="2" t="s">
        <v>2053</v>
      </c>
      <c r="D670" s="2" t="s">
        <v>698</v>
      </c>
      <c r="E670" s="2" t="s">
        <v>2096</v>
      </c>
      <c r="F670" s="2" t="s">
        <v>126</v>
      </c>
      <c r="G670" s="2" t="s">
        <v>2097</v>
      </c>
      <c r="H670" s="2" t="s">
        <v>2183</v>
      </c>
      <c r="I670" s="1" t="s">
        <v>116</v>
      </c>
      <c r="J670" s="1" t="s">
        <v>35</v>
      </c>
      <c r="K670" s="6" t="s">
        <v>40</v>
      </c>
      <c r="L670" s="1"/>
    </row>
    <row r="671" spans="1:12" ht="15.75" customHeight="1">
      <c r="A671" s="1" t="s">
        <v>2184</v>
      </c>
      <c r="B671" s="2" t="s">
        <v>2052</v>
      </c>
      <c r="C671" s="2" t="s">
        <v>2053</v>
      </c>
      <c r="D671" s="2" t="s">
        <v>698</v>
      </c>
      <c r="E671" s="2" t="s">
        <v>2054</v>
      </c>
      <c r="F671" s="2" t="s">
        <v>126</v>
      </c>
      <c r="G671" s="2" t="s">
        <v>2055</v>
      </c>
      <c r="H671" s="4" t="s">
        <v>2185</v>
      </c>
      <c r="I671" s="1" t="s">
        <v>143</v>
      </c>
      <c r="J671" s="1" t="s">
        <v>28</v>
      </c>
      <c r="K671" s="6" t="s">
        <v>40</v>
      </c>
      <c r="L671" s="1"/>
    </row>
    <row r="672" spans="1:12" ht="15.75" customHeight="1">
      <c r="A672" s="1" t="s">
        <v>2186</v>
      </c>
      <c r="B672" s="2" t="s">
        <v>2153</v>
      </c>
      <c r="C672" s="2" t="s">
        <v>2053</v>
      </c>
      <c r="D672" s="2" t="s">
        <v>698</v>
      </c>
      <c r="E672" s="2" t="s">
        <v>2154</v>
      </c>
      <c r="F672" s="2" t="s">
        <v>24</v>
      </c>
      <c r="G672" s="2" t="s">
        <v>2155</v>
      </c>
      <c r="H672" s="2" t="s">
        <v>2187</v>
      </c>
      <c r="I672" s="1" t="s">
        <v>143</v>
      </c>
      <c r="J672" s="1" t="s">
        <v>28</v>
      </c>
      <c r="K672" s="6" t="s">
        <v>40</v>
      </c>
      <c r="L672" s="1"/>
    </row>
    <row r="673" spans="1:12" ht="15.75" customHeight="1">
      <c r="A673" s="1" t="s">
        <v>2188</v>
      </c>
      <c r="B673" s="2" t="s">
        <v>2095</v>
      </c>
      <c r="C673" s="2" t="s">
        <v>2053</v>
      </c>
      <c r="D673" s="2" t="s">
        <v>698</v>
      </c>
      <c r="E673" s="2" t="s">
        <v>2096</v>
      </c>
      <c r="F673" s="2" t="s">
        <v>126</v>
      </c>
      <c r="G673" s="2" t="s">
        <v>2097</v>
      </c>
      <c r="H673" s="2" t="s">
        <v>2189</v>
      </c>
      <c r="I673" s="1" t="s">
        <v>143</v>
      </c>
      <c r="J673" s="1" t="s">
        <v>28</v>
      </c>
      <c r="K673" s="6" t="s">
        <v>40</v>
      </c>
      <c r="L673" s="1"/>
    </row>
    <row r="674" spans="1:12" ht="15.75" customHeight="1">
      <c r="A674" s="1" t="s">
        <v>2190</v>
      </c>
      <c r="B674" s="2" t="s">
        <v>2153</v>
      </c>
      <c r="C674" s="2" t="s">
        <v>2053</v>
      </c>
      <c r="D674" s="2" t="s">
        <v>698</v>
      </c>
      <c r="E674" s="2" t="s">
        <v>2154</v>
      </c>
      <c r="F674" s="2" t="s">
        <v>24</v>
      </c>
      <c r="G674" s="2" t="s">
        <v>2155</v>
      </c>
      <c r="H674" s="2" t="s">
        <v>2191</v>
      </c>
      <c r="I674" s="1" t="s">
        <v>143</v>
      </c>
      <c r="J674" s="1" t="s">
        <v>28</v>
      </c>
      <c r="K674" s="6" t="s">
        <v>40</v>
      </c>
      <c r="L674" s="1"/>
    </row>
    <row r="675" spans="1:12" ht="15.75" customHeight="1">
      <c r="A675" s="1" t="s">
        <v>2192</v>
      </c>
      <c r="B675" s="2" t="s">
        <v>2135</v>
      </c>
      <c r="C675" s="2" t="s">
        <v>2053</v>
      </c>
      <c r="D675" s="2" t="s">
        <v>698</v>
      </c>
      <c r="E675" s="2" t="s">
        <v>2136</v>
      </c>
      <c r="F675" s="2" t="s">
        <v>15</v>
      </c>
      <c r="G675" s="2" t="s">
        <v>2137</v>
      </c>
      <c r="H675" s="2" t="s">
        <v>2193</v>
      </c>
      <c r="I675" s="1" t="s">
        <v>143</v>
      </c>
      <c r="J675" s="1" t="s">
        <v>28</v>
      </c>
      <c r="K675" s="6" t="s">
        <v>40</v>
      </c>
      <c r="L675" s="1"/>
    </row>
    <row r="676" spans="1:12" ht="15.75" customHeight="1">
      <c r="A676" s="1" t="s">
        <v>2194</v>
      </c>
      <c r="B676" s="2" t="s">
        <v>2095</v>
      </c>
      <c r="C676" s="2" t="s">
        <v>2053</v>
      </c>
      <c r="D676" s="2" t="s">
        <v>698</v>
      </c>
      <c r="E676" s="2" t="s">
        <v>2096</v>
      </c>
      <c r="F676" s="2" t="s">
        <v>126</v>
      </c>
      <c r="G676" s="2" t="s">
        <v>2097</v>
      </c>
      <c r="H676" s="2" t="s">
        <v>2195</v>
      </c>
      <c r="I676" s="1" t="s">
        <v>116</v>
      </c>
      <c r="J676" s="1" t="s">
        <v>35</v>
      </c>
      <c r="K676" s="6" t="s">
        <v>40</v>
      </c>
      <c r="L676" s="1"/>
    </row>
    <row r="677" spans="1:12" ht="15.75" customHeight="1">
      <c r="A677" s="1" t="s">
        <v>2196</v>
      </c>
      <c r="B677" s="2" t="s">
        <v>2084</v>
      </c>
      <c r="C677" s="2" t="s">
        <v>2053</v>
      </c>
      <c r="D677" s="2" t="s">
        <v>698</v>
      </c>
      <c r="E677" s="2" t="s">
        <v>2085</v>
      </c>
      <c r="F677" s="2" t="s">
        <v>120</v>
      </c>
      <c r="G677" s="2" t="s">
        <v>2086</v>
      </c>
      <c r="H677" s="2" t="s">
        <v>2197</v>
      </c>
      <c r="I677" s="1" t="s">
        <v>116</v>
      </c>
      <c r="J677" s="1" t="s">
        <v>35</v>
      </c>
      <c r="K677" s="6" t="s">
        <v>40</v>
      </c>
      <c r="L677" s="1"/>
    </row>
    <row r="678" spans="1:12" ht="15.75" customHeight="1">
      <c r="A678" s="1" t="s">
        <v>2198</v>
      </c>
      <c r="B678" s="2" t="s">
        <v>2070</v>
      </c>
      <c r="C678" s="2" t="s">
        <v>2053</v>
      </c>
      <c r="D678" s="2" t="s">
        <v>698</v>
      </c>
      <c r="E678" s="2" t="s">
        <v>2071</v>
      </c>
      <c r="F678" s="2" t="s">
        <v>126</v>
      </c>
      <c r="G678" s="2" t="s">
        <v>2072</v>
      </c>
      <c r="H678" s="2" t="s">
        <v>2199</v>
      </c>
      <c r="I678" s="1" t="s">
        <v>100</v>
      </c>
      <c r="J678" s="1" t="s">
        <v>78</v>
      </c>
      <c r="K678" s="6" t="s">
        <v>40</v>
      </c>
      <c r="L678" s="1"/>
    </row>
    <row r="679" spans="1:12" ht="15.75" customHeight="1">
      <c r="A679" s="1" t="s">
        <v>2200</v>
      </c>
      <c r="B679" s="2" t="s">
        <v>2201</v>
      </c>
      <c r="C679" s="2" t="s">
        <v>2053</v>
      </c>
      <c r="D679" s="2" t="s">
        <v>698</v>
      </c>
      <c r="E679" s="2" t="s">
        <v>2202</v>
      </c>
      <c r="F679" s="2" t="s">
        <v>24</v>
      </c>
      <c r="G679" s="8" t="s">
        <v>2203</v>
      </c>
      <c r="H679" s="2" t="s">
        <v>2204</v>
      </c>
      <c r="I679" s="1" t="s">
        <v>116</v>
      </c>
      <c r="J679" s="1" t="s">
        <v>35</v>
      </c>
      <c r="K679" s="6" t="s">
        <v>40</v>
      </c>
      <c r="L679" s="1"/>
    </row>
    <row r="680" spans="1:12" ht="15.75" customHeight="1">
      <c r="A680" s="1" t="s">
        <v>2205</v>
      </c>
      <c r="B680" s="2" t="s">
        <v>2052</v>
      </c>
      <c r="C680" s="2" t="s">
        <v>2053</v>
      </c>
      <c r="D680" s="2" t="s">
        <v>698</v>
      </c>
      <c r="E680" s="2" t="s">
        <v>2054</v>
      </c>
      <c r="F680" s="2" t="s">
        <v>126</v>
      </c>
      <c r="G680" s="2" t="s">
        <v>2055</v>
      </c>
      <c r="H680" s="2" t="s">
        <v>2206</v>
      </c>
      <c r="I680" s="1" t="s">
        <v>143</v>
      </c>
      <c r="J680" s="1" t="s">
        <v>28</v>
      </c>
      <c r="K680" s="6" t="s">
        <v>40</v>
      </c>
      <c r="L680" s="1"/>
    </row>
    <row r="681" spans="1:12" ht="15.75" customHeight="1">
      <c r="A681" s="1" t="s">
        <v>2207</v>
      </c>
      <c r="B681" s="2" t="s">
        <v>2095</v>
      </c>
      <c r="C681" s="2" t="s">
        <v>2053</v>
      </c>
      <c r="D681" s="2" t="s">
        <v>698</v>
      </c>
      <c r="E681" s="2" t="s">
        <v>2096</v>
      </c>
      <c r="F681" s="2" t="s">
        <v>126</v>
      </c>
      <c r="G681" s="2" t="s">
        <v>2097</v>
      </c>
      <c r="H681" s="2" t="s">
        <v>2208</v>
      </c>
      <c r="I681" s="1" t="s">
        <v>116</v>
      </c>
      <c r="J681" s="1" t="s">
        <v>35</v>
      </c>
      <c r="K681" s="6" t="s">
        <v>40</v>
      </c>
      <c r="L681" s="1"/>
    </row>
    <row r="682" spans="1:12" ht="15.75" customHeight="1">
      <c r="A682" s="1" t="s">
        <v>2209</v>
      </c>
      <c r="B682" s="2" t="s">
        <v>2135</v>
      </c>
      <c r="C682" s="2" t="s">
        <v>2053</v>
      </c>
      <c r="D682" s="2" t="s">
        <v>698</v>
      </c>
      <c r="E682" s="2" t="s">
        <v>2136</v>
      </c>
      <c r="F682" s="2" t="s">
        <v>15</v>
      </c>
      <c r="G682" s="2" t="s">
        <v>2137</v>
      </c>
      <c r="H682" s="2" t="s">
        <v>2210</v>
      </c>
      <c r="I682" s="1" t="s">
        <v>100</v>
      </c>
      <c r="J682" s="1" t="s">
        <v>78</v>
      </c>
      <c r="K682" s="6" t="s">
        <v>40</v>
      </c>
      <c r="L682" s="1"/>
    </row>
    <row r="683" spans="1:12" ht="15.75" customHeight="1">
      <c r="A683" s="1" t="s">
        <v>2211</v>
      </c>
      <c r="B683" s="2" t="s">
        <v>2153</v>
      </c>
      <c r="C683" s="2" t="s">
        <v>2053</v>
      </c>
      <c r="D683" s="2" t="s">
        <v>698</v>
      </c>
      <c r="E683" s="2" t="s">
        <v>2154</v>
      </c>
      <c r="F683" s="2" t="s">
        <v>24</v>
      </c>
      <c r="G683" s="2" t="s">
        <v>2155</v>
      </c>
      <c r="H683" s="2" t="s">
        <v>2212</v>
      </c>
      <c r="I683" s="1" t="s">
        <v>116</v>
      </c>
      <c r="J683" s="1" t="s">
        <v>35</v>
      </c>
      <c r="K683" s="6" t="s">
        <v>40</v>
      </c>
      <c r="L683" s="1"/>
    </row>
    <row r="684" spans="1:12" ht="15.75" customHeight="1">
      <c r="A684" s="1" t="s">
        <v>2213</v>
      </c>
      <c r="B684" s="2" t="s">
        <v>2070</v>
      </c>
      <c r="C684" s="2" t="s">
        <v>2053</v>
      </c>
      <c r="D684" s="2" t="s">
        <v>698</v>
      </c>
      <c r="E684" s="2" t="s">
        <v>2071</v>
      </c>
      <c r="F684" s="2" t="s">
        <v>126</v>
      </c>
      <c r="G684" s="2" t="s">
        <v>2072</v>
      </c>
      <c r="H684" s="2" t="s">
        <v>2214</v>
      </c>
      <c r="I684" s="1" t="s">
        <v>116</v>
      </c>
      <c r="J684" s="1" t="s">
        <v>35</v>
      </c>
      <c r="K684" s="6" t="s">
        <v>40</v>
      </c>
      <c r="L684" s="1"/>
    </row>
    <row r="685" spans="1:12" ht="15.75" customHeight="1">
      <c r="A685" s="1" t="s">
        <v>2215</v>
      </c>
      <c r="B685" s="2" t="s">
        <v>2106</v>
      </c>
      <c r="C685" s="2" t="s">
        <v>2053</v>
      </c>
      <c r="D685" s="2" t="s">
        <v>698</v>
      </c>
      <c r="E685" s="2" t="s">
        <v>2107</v>
      </c>
      <c r="F685" s="2" t="s">
        <v>180</v>
      </c>
      <c r="G685" s="2" t="s">
        <v>2108</v>
      </c>
      <c r="H685" s="2" t="s">
        <v>2216</v>
      </c>
      <c r="I685" s="1" t="s">
        <v>143</v>
      </c>
      <c r="J685" s="1" t="s">
        <v>28</v>
      </c>
      <c r="K685" s="6" t="s">
        <v>40</v>
      </c>
      <c r="L685" s="1"/>
    </row>
    <row r="686" spans="1:12" ht="15.75" customHeight="1">
      <c r="A686" s="1" t="s">
        <v>2217</v>
      </c>
      <c r="B686" s="2" t="s">
        <v>2070</v>
      </c>
      <c r="C686" s="2" t="s">
        <v>2053</v>
      </c>
      <c r="D686" s="2" t="s">
        <v>698</v>
      </c>
      <c r="E686" s="2" t="s">
        <v>2071</v>
      </c>
      <c r="F686" s="2" t="s">
        <v>126</v>
      </c>
      <c r="G686" s="2" t="s">
        <v>2072</v>
      </c>
      <c r="H686" s="2" t="s">
        <v>2218</v>
      </c>
      <c r="I686" s="1" t="s">
        <v>116</v>
      </c>
      <c r="J686" s="1" t="s">
        <v>35</v>
      </c>
      <c r="K686" s="6" t="s">
        <v>40</v>
      </c>
      <c r="L686" s="1"/>
    </row>
    <row r="687" spans="1:12" ht="15.75" customHeight="1">
      <c r="A687" s="1" t="s">
        <v>2219</v>
      </c>
      <c r="B687" s="2" t="s">
        <v>2052</v>
      </c>
      <c r="C687" s="2" t="s">
        <v>2053</v>
      </c>
      <c r="D687" s="2" t="s">
        <v>698</v>
      </c>
      <c r="E687" s="2" t="s">
        <v>2054</v>
      </c>
      <c r="F687" s="2" t="s">
        <v>126</v>
      </c>
      <c r="G687" s="2" t="s">
        <v>2055</v>
      </c>
      <c r="H687" s="2" t="s">
        <v>2220</v>
      </c>
      <c r="I687" s="1" t="s">
        <v>143</v>
      </c>
      <c r="J687" s="1" t="s">
        <v>28</v>
      </c>
      <c r="K687" s="6" t="s">
        <v>40</v>
      </c>
      <c r="L687" s="1"/>
    </row>
    <row r="688" spans="1:12" ht="15.75" customHeight="1">
      <c r="A688" s="1" t="s">
        <v>2221</v>
      </c>
      <c r="B688" s="2" t="s">
        <v>2106</v>
      </c>
      <c r="C688" s="2" t="s">
        <v>2053</v>
      </c>
      <c r="D688" s="2" t="s">
        <v>698</v>
      </c>
      <c r="E688" s="2" t="s">
        <v>2107</v>
      </c>
      <c r="F688" s="2" t="s">
        <v>180</v>
      </c>
      <c r="G688" s="2" t="s">
        <v>2108</v>
      </c>
      <c r="H688" s="2" t="s">
        <v>2222</v>
      </c>
      <c r="I688" s="1" t="s">
        <v>100</v>
      </c>
      <c r="J688" s="1" t="s">
        <v>78</v>
      </c>
      <c r="K688" s="6" t="s">
        <v>40</v>
      </c>
      <c r="L688" s="1"/>
    </row>
    <row r="689" spans="1:12" ht="15.75" customHeight="1">
      <c r="A689" s="1" t="s">
        <v>2223</v>
      </c>
      <c r="B689" s="2" t="s">
        <v>2052</v>
      </c>
      <c r="C689" s="2" t="s">
        <v>2053</v>
      </c>
      <c r="D689" s="2" t="s">
        <v>698</v>
      </c>
      <c r="E689" s="2" t="s">
        <v>2054</v>
      </c>
      <c r="F689" s="2" t="s">
        <v>126</v>
      </c>
      <c r="G689" s="2" t="s">
        <v>2055</v>
      </c>
      <c r="H689" s="2" t="s">
        <v>2224</v>
      </c>
      <c r="I689" s="1" t="s">
        <v>116</v>
      </c>
      <c r="J689" s="1" t="s">
        <v>35</v>
      </c>
      <c r="K689" s="6" t="s">
        <v>40</v>
      </c>
      <c r="L689" s="1"/>
    </row>
    <row r="690" spans="1:12" ht="15.75" customHeight="1">
      <c r="A690" s="1" t="s">
        <v>2225</v>
      </c>
      <c r="B690" s="2" t="s">
        <v>2070</v>
      </c>
      <c r="C690" s="2" t="s">
        <v>2053</v>
      </c>
      <c r="D690" s="2" t="s">
        <v>698</v>
      </c>
      <c r="E690" s="2" t="s">
        <v>2071</v>
      </c>
      <c r="F690" s="2" t="s">
        <v>126</v>
      </c>
      <c r="G690" s="2" t="s">
        <v>2072</v>
      </c>
      <c r="H690" s="2" t="s">
        <v>2226</v>
      </c>
      <c r="I690" s="1" t="s">
        <v>143</v>
      </c>
      <c r="J690" s="1" t="s">
        <v>28</v>
      </c>
      <c r="K690" s="6" t="s">
        <v>40</v>
      </c>
      <c r="L690" s="1"/>
    </row>
    <row r="691" spans="1:12" ht="15.75" customHeight="1">
      <c r="A691" s="1" t="s">
        <v>2227</v>
      </c>
      <c r="B691" s="2" t="s">
        <v>2106</v>
      </c>
      <c r="C691" s="2" t="s">
        <v>2053</v>
      </c>
      <c r="D691" s="2" t="s">
        <v>698</v>
      </c>
      <c r="E691" s="2" t="s">
        <v>2107</v>
      </c>
      <c r="F691" s="2" t="s">
        <v>180</v>
      </c>
      <c r="G691" s="2" t="s">
        <v>2108</v>
      </c>
      <c r="H691" s="2" t="s">
        <v>2228</v>
      </c>
      <c r="I691" s="1" t="s">
        <v>143</v>
      </c>
      <c r="J691" s="1" t="s">
        <v>28</v>
      </c>
      <c r="K691" s="6" t="s">
        <v>40</v>
      </c>
      <c r="L691" s="1"/>
    </row>
    <row r="692" spans="1:12" ht="15.75" customHeight="1">
      <c r="A692" s="1" t="s">
        <v>2229</v>
      </c>
      <c r="B692" s="2" t="s">
        <v>2162</v>
      </c>
      <c r="C692" s="2" t="s">
        <v>2053</v>
      </c>
      <c r="D692" s="2" t="s">
        <v>698</v>
      </c>
      <c r="E692" s="2" t="s">
        <v>2163</v>
      </c>
      <c r="F692" s="2" t="s">
        <v>120</v>
      </c>
      <c r="G692" s="2" t="s">
        <v>2164</v>
      </c>
      <c r="H692" s="2" t="s">
        <v>2230</v>
      </c>
      <c r="I692" s="1" t="s">
        <v>143</v>
      </c>
      <c r="J692" s="1" t="s">
        <v>28</v>
      </c>
      <c r="K692" s="6" t="s">
        <v>40</v>
      </c>
      <c r="L692" s="1"/>
    </row>
    <row r="693" spans="1:12" ht="15.75" customHeight="1">
      <c r="A693" s="1" t="s">
        <v>2231</v>
      </c>
      <c r="B693" s="2" t="s">
        <v>2123</v>
      </c>
      <c r="C693" s="2" t="s">
        <v>2053</v>
      </c>
      <c r="D693" s="2" t="s">
        <v>698</v>
      </c>
      <c r="E693" s="2" t="s">
        <v>2124</v>
      </c>
      <c r="F693" s="2" t="s">
        <v>15</v>
      </c>
      <c r="G693" s="2" t="s">
        <v>2125</v>
      </c>
      <c r="H693" s="2" t="s">
        <v>2232</v>
      </c>
      <c r="I693" s="1" t="s">
        <v>100</v>
      </c>
      <c r="J693" s="1" t="s">
        <v>78</v>
      </c>
      <c r="K693" s="6" t="s">
        <v>40</v>
      </c>
      <c r="L693" s="1"/>
    </row>
    <row r="694" spans="1:12" ht="15.75" customHeight="1">
      <c r="A694" s="1" t="s">
        <v>2233</v>
      </c>
      <c r="B694" s="2" t="s">
        <v>2058</v>
      </c>
      <c r="C694" s="2" t="s">
        <v>2053</v>
      </c>
      <c r="D694" s="2" t="s">
        <v>698</v>
      </c>
      <c r="E694" s="2" t="s">
        <v>2059</v>
      </c>
      <c r="F694" s="2" t="s">
        <v>24</v>
      </c>
      <c r="G694" s="2" t="s">
        <v>2060</v>
      </c>
      <c r="H694" s="2" t="s">
        <v>2234</v>
      </c>
      <c r="I694" s="1" t="s">
        <v>116</v>
      </c>
      <c r="J694" s="1" t="s">
        <v>35</v>
      </c>
      <c r="K694" s="6" t="s">
        <v>40</v>
      </c>
      <c r="L694" s="1"/>
    </row>
    <row r="695" spans="1:12" ht="15.75" customHeight="1">
      <c r="A695" s="1" t="s">
        <v>2235</v>
      </c>
      <c r="B695" s="2" t="s">
        <v>2070</v>
      </c>
      <c r="C695" s="2" t="s">
        <v>2053</v>
      </c>
      <c r="D695" s="2" t="s">
        <v>698</v>
      </c>
      <c r="E695" s="2" t="s">
        <v>2071</v>
      </c>
      <c r="F695" s="2" t="s">
        <v>126</v>
      </c>
      <c r="G695" s="2" t="s">
        <v>2072</v>
      </c>
      <c r="H695" s="2" t="s">
        <v>2236</v>
      </c>
      <c r="I695" s="1" t="s">
        <v>116</v>
      </c>
      <c r="J695" s="1" t="s">
        <v>35</v>
      </c>
      <c r="K695" s="6" t="s">
        <v>40</v>
      </c>
      <c r="L695" s="1"/>
    </row>
    <row r="696" spans="1:12" ht="15.75" customHeight="1">
      <c r="A696" s="1" t="s">
        <v>2237</v>
      </c>
      <c r="B696" s="2" t="s">
        <v>2084</v>
      </c>
      <c r="C696" s="2" t="s">
        <v>2053</v>
      </c>
      <c r="D696" s="2" t="s">
        <v>698</v>
      </c>
      <c r="E696" s="2" t="s">
        <v>2085</v>
      </c>
      <c r="F696" s="2" t="s">
        <v>120</v>
      </c>
      <c r="G696" s="2" t="s">
        <v>2086</v>
      </c>
      <c r="H696" s="2" t="s">
        <v>2238</v>
      </c>
      <c r="I696" s="1" t="s">
        <v>143</v>
      </c>
      <c r="J696" s="1" t="s">
        <v>28</v>
      </c>
      <c r="K696" s="6" t="s">
        <v>40</v>
      </c>
      <c r="L696" s="1"/>
    </row>
    <row r="697" spans="1:12" ht="15.75" customHeight="1">
      <c r="A697" s="1" t="s">
        <v>2239</v>
      </c>
      <c r="B697" s="2" t="s">
        <v>2162</v>
      </c>
      <c r="C697" s="2" t="s">
        <v>2053</v>
      </c>
      <c r="D697" s="2" t="s">
        <v>698</v>
      </c>
      <c r="E697" s="2" t="s">
        <v>2163</v>
      </c>
      <c r="F697" s="2" t="s">
        <v>120</v>
      </c>
      <c r="G697" s="2" t="s">
        <v>2164</v>
      </c>
      <c r="H697" s="2" t="s">
        <v>2240</v>
      </c>
      <c r="I697" s="1" t="s">
        <v>143</v>
      </c>
      <c r="J697" s="1" t="s">
        <v>28</v>
      </c>
      <c r="K697" s="6" t="s">
        <v>40</v>
      </c>
      <c r="L697" s="1"/>
    </row>
    <row r="698" spans="1:12" ht="15.75" customHeight="1">
      <c r="A698" s="1" t="s">
        <v>2241</v>
      </c>
      <c r="B698" s="2" t="s">
        <v>2063</v>
      </c>
      <c r="C698" s="2" t="s">
        <v>2053</v>
      </c>
      <c r="D698" s="2" t="s">
        <v>698</v>
      </c>
      <c r="E698" s="2" t="s">
        <v>2064</v>
      </c>
      <c r="F698" s="2" t="s">
        <v>120</v>
      </c>
      <c r="G698" s="2" t="s">
        <v>2065</v>
      </c>
      <c r="H698" s="2" t="s">
        <v>2242</v>
      </c>
      <c r="I698" s="1" t="s">
        <v>116</v>
      </c>
      <c r="J698" s="1" t="s">
        <v>35</v>
      </c>
      <c r="K698" s="6" t="s">
        <v>40</v>
      </c>
      <c r="L698" s="1"/>
    </row>
    <row r="699" spans="1:12" ht="15.75" customHeight="1">
      <c r="A699" s="1" t="s">
        <v>2243</v>
      </c>
      <c r="B699" s="2" t="s">
        <v>2162</v>
      </c>
      <c r="C699" s="2" t="s">
        <v>2053</v>
      </c>
      <c r="D699" s="2" t="s">
        <v>698</v>
      </c>
      <c r="E699" s="2" t="s">
        <v>2163</v>
      </c>
      <c r="F699" s="2" t="s">
        <v>120</v>
      </c>
      <c r="G699" s="2" t="s">
        <v>2164</v>
      </c>
      <c r="H699" s="2" t="s">
        <v>2244</v>
      </c>
      <c r="I699" s="1" t="s">
        <v>116</v>
      </c>
      <c r="J699" s="1" t="s">
        <v>35</v>
      </c>
      <c r="K699" s="6" t="s">
        <v>40</v>
      </c>
      <c r="L699" s="1"/>
    </row>
    <row r="700" spans="1:12" ht="15.75" customHeight="1">
      <c r="A700" s="1" t="s">
        <v>2245</v>
      </c>
      <c r="B700" s="2" t="s">
        <v>2153</v>
      </c>
      <c r="C700" s="2" t="s">
        <v>2053</v>
      </c>
      <c r="D700" s="2" t="s">
        <v>698</v>
      </c>
      <c r="E700" s="2" t="s">
        <v>2154</v>
      </c>
      <c r="F700" s="2" t="s">
        <v>24</v>
      </c>
      <c r="G700" s="2" t="s">
        <v>2155</v>
      </c>
      <c r="H700" s="2" t="s">
        <v>2246</v>
      </c>
      <c r="I700" s="1" t="s">
        <v>143</v>
      </c>
      <c r="J700" s="1" t="s">
        <v>28</v>
      </c>
      <c r="K700" s="6" t="s">
        <v>40</v>
      </c>
      <c r="L700" s="1"/>
    </row>
    <row r="701" spans="1:12" ht="15.75" customHeight="1">
      <c r="A701" s="1" t="s">
        <v>2247</v>
      </c>
      <c r="B701" s="2" t="s">
        <v>2095</v>
      </c>
      <c r="C701" s="2" t="s">
        <v>2053</v>
      </c>
      <c r="D701" s="2" t="s">
        <v>698</v>
      </c>
      <c r="E701" s="2" t="s">
        <v>2096</v>
      </c>
      <c r="F701" s="2" t="s">
        <v>126</v>
      </c>
      <c r="G701" s="2" t="s">
        <v>2097</v>
      </c>
      <c r="H701" s="2" t="s">
        <v>2248</v>
      </c>
      <c r="I701" s="1" t="s">
        <v>100</v>
      </c>
      <c r="J701" s="1" t="s">
        <v>78</v>
      </c>
      <c r="K701" s="6" t="s">
        <v>40</v>
      </c>
      <c r="L701" s="1"/>
    </row>
    <row r="702" spans="1:12" ht="15.75" customHeight="1">
      <c r="A702" s="1" t="s">
        <v>2249</v>
      </c>
      <c r="B702" s="2" t="s">
        <v>2250</v>
      </c>
      <c r="C702" s="2" t="s">
        <v>2053</v>
      </c>
      <c r="D702" s="2" t="s">
        <v>698</v>
      </c>
      <c r="E702" s="2" t="s">
        <v>2251</v>
      </c>
      <c r="F702" s="2" t="s">
        <v>180</v>
      </c>
      <c r="G702" s="8" t="s">
        <v>2252</v>
      </c>
      <c r="H702" s="2" t="s">
        <v>2253</v>
      </c>
      <c r="I702" s="1" t="s">
        <v>143</v>
      </c>
      <c r="J702" s="1" t="s">
        <v>28</v>
      </c>
      <c r="K702" s="6" t="s">
        <v>40</v>
      </c>
      <c r="L702" s="1"/>
    </row>
    <row r="703" spans="1:12" ht="15.75" customHeight="1">
      <c r="A703" s="1" t="s">
        <v>2254</v>
      </c>
      <c r="B703" s="2" t="s">
        <v>2201</v>
      </c>
      <c r="C703" s="2" t="s">
        <v>2053</v>
      </c>
      <c r="D703" s="2" t="s">
        <v>698</v>
      </c>
      <c r="E703" s="2" t="s">
        <v>2202</v>
      </c>
      <c r="F703" s="2" t="s">
        <v>24</v>
      </c>
      <c r="G703" s="2" t="s">
        <v>2203</v>
      </c>
      <c r="H703" s="2" t="s">
        <v>2255</v>
      </c>
      <c r="I703" s="1" t="s">
        <v>116</v>
      </c>
      <c r="J703" s="1" t="s">
        <v>35</v>
      </c>
      <c r="K703" s="6" t="s">
        <v>40</v>
      </c>
      <c r="L703" s="1"/>
    </row>
    <row r="704" spans="1:12" ht="15.75" customHeight="1">
      <c r="A704" s="1" t="s">
        <v>2256</v>
      </c>
      <c r="B704" s="2" t="s">
        <v>2153</v>
      </c>
      <c r="C704" s="2" t="s">
        <v>2053</v>
      </c>
      <c r="D704" s="2" t="s">
        <v>698</v>
      </c>
      <c r="E704" s="2" t="s">
        <v>2154</v>
      </c>
      <c r="F704" s="2" t="s">
        <v>24</v>
      </c>
      <c r="G704" s="2" t="s">
        <v>2155</v>
      </c>
      <c r="H704" s="2" t="s">
        <v>2257</v>
      </c>
      <c r="I704" s="1" t="s">
        <v>116</v>
      </c>
      <c r="J704" s="1" t="s">
        <v>35</v>
      </c>
      <c r="K704" s="6" t="s">
        <v>40</v>
      </c>
      <c r="L704" s="1"/>
    </row>
    <row r="705" spans="1:12" ht="15.75" customHeight="1">
      <c r="A705" s="1" t="s">
        <v>2258</v>
      </c>
      <c r="B705" s="2" t="s">
        <v>2153</v>
      </c>
      <c r="C705" s="2" t="s">
        <v>2053</v>
      </c>
      <c r="D705" s="2" t="s">
        <v>698</v>
      </c>
      <c r="E705" s="2" t="s">
        <v>2154</v>
      </c>
      <c r="F705" s="2" t="s">
        <v>24</v>
      </c>
      <c r="G705" s="2" t="s">
        <v>2155</v>
      </c>
      <c r="H705" s="2" t="s">
        <v>2259</v>
      </c>
      <c r="I705" s="1" t="s">
        <v>116</v>
      </c>
      <c r="J705" s="1" t="s">
        <v>35</v>
      </c>
      <c r="K705" s="6" t="s">
        <v>40</v>
      </c>
      <c r="L705" s="1"/>
    </row>
    <row r="706" spans="1:12" ht="15.75" customHeight="1">
      <c r="A706" s="1" t="s">
        <v>2260</v>
      </c>
      <c r="B706" s="2" t="s">
        <v>2162</v>
      </c>
      <c r="C706" s="2" t="s">
        <v>2053</v>
      </c>
      <c r="D706" s="2" t="s">
        <v>698</v>
      </c>
      <c r="E706" s="2" t="s">
        <v>2163</v>
      </c>
      <c r="F706" s="2" t="s">
        <v>120</v>
      </c>
      <c r="G706" s="2" t="s">
        <v>2164</v>
      </c>
      <c r="H706" s="2" t="s">
        <v>2261</v>
      </c>
      <c r="I706" s="1" t="s">
        <v>143</v>
      </c>
      <c r="J706" s="1" t="s">
        <v>28</v>
      </c>
      <c r="K706" s="6" t="s">
        <v>40</v>
      </c>
      <c r="L706" s="1"/>
    </row>
    <row r="707" spans="1:12" ht="15.75" customHeight="1">
      <c r="A707" s="1" t="s">
        <v>2262</v>
      </c>
      <c r="B707" s="2" t="s">
        <v>2070</v>
      </c>
      <c r="C707" s="2" t="s">
        <v>2053</v>
      </c>
      <c r="D707" s="2" t="s">
        <v>698</v>
      </c>
      <c r="E707" s="2" t="s">
        <v>2071</v>
      </c>
      <c r="F707" s="2" t="s">
        <v>126</v>
      </c>
      <c r="G707" s="2" t="s">
        <v>2072</v>
      </c>
      <c r="H707" s="2" t="s">
        <v>2263</v>
      </c>
      <c r="I707" s="1" t="s">
        <v>143</v>
      </c>
      <c r="J707" s="1" t="s">
        <v>28</v>
      </c>
      <c r="K707" s="6" t="s">
        <v>40</v>
      </c>
      <c r="L707" s="1"/>
    </row>
    <row r="708" spans="1:12" ht="15.75" customHeight="1">
      <c r="A708" s="1" t="s">
        <v>2264</v>
      </c>
      <c r="B708" s="2" t="s">
        <v>2201</v>
      </c>
      <c r="C708" s="2" t="s">
        <v>2053</v>
      </c>
      <c r="D708" s="2" t="s">
        <v>698</v>
      </c>
      <c r="E708" s="2" t="s">
        <v>2202</v>
      </c>
      <c r="F708" s="2" t="s">
        <v>24</v>
      </c>
      <c r="G708" s="2" t="s">
        <v>2203</v>
      </c>
      <c r="H708" s="2" t="s">
        <v>2265</v>
      </c>
      <c r="I708" s="1" t="s">
        <v>143</v>
      </c>
      <c r="J708" s="1" t="s">
        <v>28</v>
      </c>
      <c r="K708" s="6" t="s">
        <v>40</v>
      </c>
      <c r="L708" s="1"/>
    </row>
    <row r="709" spans="1:12" ht="15.75" customHeight="1">
      <c r="A709" s="1" t="s">
        <v>2266</v>
      </c>
      <c r="B709" s="2" t="s">
        <v>2128</v>
      </c>
      <c r="C709" s="2" t="s">
        <v>2053</v>
      </c>
      <c r="D709" s="2" t="s">
        <v>698</v>
      </c>
      <c r="E709" s="2" t="s">
        <v>2129</v>
      </c>
      <c r="F709" s="2" t="s">
        <v>180</v>
      </c>
      <c r="G709" s="2" t="s">
        <v>2130</v>
      </c>
      <c r="H709" s="2" t="s">
        <v>2267</v>
      </c>
      <c r="I709" s="1" t="s">
        <v>143</v>
      </c>
      <c r="J709" s="1" t="s">
        <v>28</v>
      </c>
      <c r="K709" s="6" t="s">
        <v>40</v>
      </c>
      <c r="L709" s="1"/>
    </row>
    <row r="710" spans="1:12" ht="15.75" customHeight="1">
      <c r="A710" s="1" t="s">
        <v>2268</v>
      </c>
      <c r="B710" s="2" t="s">
        <v>2084</v>
      </c>
      <c r="C710" s="2" t="s">
        <v>2053</v>
      </c>
      <c r="D710" s="2" t="s">
        <v>698</v>
      </c>
      <c r="E710" s="2" t="s">
        <v>2085</v>
      </c>
      <c r="F710" s="2" t="s">
        <v>120</v>
      </c>
      <c r="G710" s="2" t="s">
        <v>2086</v>
      </c>
      <c r="H710" s="2" t="s">
        <v>2269</v>
      </c>
      <c r="I710" s="1" t="s">
        <v>116</v>
      </c>
      <c r="J710" s="1" t="s">
        <v>35</v>
      </c>
      <c r="K710" s="6" t="s">
        <v>40</v>
      </c>
      <c r="L710" s="1"/>
    </row>
    <row r="711" spans="1:12" ht="15.75" customHeight="1">
      <c r="A711" s="1" t="s">
        <v>2270</v>
      </c>
      <c r="B711" s="2" t="s">
        <v>2106</v>
      </c>
      <c r="C711" s="2" t="s">
        <v>2053</v>
      </c>
      <c r="D711" s="2" t="s">
        <v>698</v>
      </c>
      <c r="E711" s="2" t="s">
        <v>2107</v>
      </c>
      <c r="F711" s="2" t="s">
        <v>180</v>
      </c>
      <c r="G711" s="2" t="s">
        <v>2108</v>
      </c>
      <c r="H711" s="2" t="s">
        <v>2271</v>
      </c>
      <c r="I711" s="1" t="s">
        <v>116</v>
      </c>
      <c r="J711" s="1" t="s">
        <v>35</v>
      </c>
      <c r="K711" s="6" t="s">
        <v>40</v>
      </c>
      <c r="L711" s="1"/>
    </row>
    <row r="712" spans="1:12" ht="15.75" customHeight="1">
      <c r="A712" s="1" t="s">
        <v>2272</v>
      </c>
      <c r="B712" s="2" t="s">
        <v>2128</v>
      </c>
      <c r="C712" s="2" t="s">
        <v>2053</v>
      </c>
      <c r="D712" s="2" t="s">
        <v>698</v>
      </c>
      <c r="E712" s="2" t="s">
        <v>2129</v>
      </c>
      <c r="F712" s="2" t="s">
        <v>180</v>
      </c>
      <c r="G712" s="2" t="s">
        <v>2130</v>
      </c>
      <c r="H712" s="2" t="s">
        <v>2273</v>
      </c>
      <c r="I712" s="1" t="s">
        <v>116</v>
      </c>
      <c r="J712" s="1" t="s">
        <v>35</v>
      </c>
      <c r="K712" s="6" t="s">
        <v>40</v>
      </c>
      <c r="L712" s="1"/>
    </row>
    <row r="713" spans="1:12" ht="15.75" customHeight="1">
      <c r="A713" s="1" t="s">
        <v>2274</v>
      </c>
      <c r="B713" s="2" t="s">
        <v>2075</v>
      </c>
      <c r="C713" s="2" t="s">
        <v>2053</v>
      </c>
      <c r="D713" s="2" t="s">
        <v>698</v>
      </c>
      <c r="E713" s="2" t="s">
        <v>2076</v>
      </c>
      <c r="F713" s="2" t="s">
        <v>15</v>
      </c>
      <c r="G713" s="2" t="s">
        <v>2077</v>
      </c>
      <c r="H713" s="2" t="s">
        <v>2275</v>
      </c>
      <c r="I713" s="1" t="s">
        <v>143</v>
      </c>
      <c r="J713" s="1" t="s">
        <v>28</v>
      </c>
      <c r="K713" s="6" t="s">
        <v>40</v>
      </c>
      <c r="L713" s="1"/>
    </row>
    <row r="714" spans="1:12" ht="15.75" customHeight="1">
      <c r="A714" s="1" t="s">
        <v>2276</v>
      </c>
      <c r="B714" s="2" t="s">
        <v>2123</v>
      </c>
      <c r="C714" s="2" t="s">
        <v>2053</v>
      </c>
      <c r="D714" s="2" t="s">
        <v>698</v>
      </c>
      <c r="E714" s="2" t="s">
        <v>2124</v>
      </c>
      <c r="F714" s="2" t="s">
        <v>15</v>
      </c>
      <c r="G714" s="2" t="s">
        <v>2125</v>
      </c>
      <c r="H714" s="2" t="s">
        <v>2277</v>
      </c>
      <c r="I714" s="1" t="s">
        <v>116</v>
      </c>
      <c r="J714" s="1" t="s">
        <v>35</v>
      </c>
      <c r="K714" s="6" t="s">
        <v>40</v>
      </c>
      <c r="L714" s="1"/>
    </row>
    <row r="715" spans="1:12" ht="15.75" customHeight="1">
      <c r="A715" s="1" t="s">
        <v>2278</v>
      </c>
      <c r="B715" s="2" t="s">
        <v>2084</v>
      </c>
      <c r="C715" s="2" t="s">
        <v>2053</v>
      </c>
      <c r="D715" s="2" t="s">
        <v>698</v>
      </c>
      <c r="E715" s="2" t="s">
        <v>2085</v>
      </c>
      <c r="F715" s="2" t="s">
        <v>120</v>
      </c>
      <c r="G715" s="2" t="s">
        <v>2086</v>
      </c>
      <c r="H715" s="2" t="s">
        <v>2279</v>
      </c>
      <c r="I715" s="1" t="s">
        <v>116</v>
      </c>
      <c r="J715" s="1" t="s">
        <v>35</v>
      </c>
      <c r="K715" s="6" t="s">
        <v>40</v>
      </c>
      <c r="L715" s="1"/>
    </row>
    <row r="716" spans="1:12" ht="15.75" customHeight="1">
      <c r="A716" s="1" t="s">
        <v>2280</v>
      </c>
      <c r="B716" s="2" t="s">
        <v>2201</v>
      </c>
      <c r="C716" s="2" t="s">
        <v>2053</v>
      </c>
      <c r="D716" s="2" t="s">
        <v>698</v>
      </c>
      <c r="E716" s="2" t="s">
        <v>2202</v>
      </c>
      <c r="F716" s="2" t="s">
        <v>24</v>
      </c>
      <c r="G716" s="2" t="s">
        <v>2203</v>
      </c>
      <c r="H716" s="2" t="s">
        <v>2281</v>
      </c>
      <c r="I716" s="1" t="s">
        <v>143</v>
      </c>
      <c r="J716" s="1" t="s">
        <v>28</v>
      </c>
      <c r="K716" s="6" t="s">
        <v>40</v>
      </c>
      <c r="L716" s="1"/>
    </row>
    <row r="717" spans="1:12" ht="15.75" customHeight="1">
      <c r="A717" s="1" t="s">
        <v>2282</v>
      </c>
      <c r="B717" s="2" t="s">
        <v>2123</v>
      </c>
      <c r="C717" s="2" t="s">
        <v>2053</v>
      </c>
      <c r="D717" s="2" t="s">
        <v>698</v>
      </c>
      <c r="E717" s="2" t="s">
        <v>2124</v>
      </c>
      <c r="F717" s="2" t="s">
        <v>15</v>
      </c>
      <c r="G717" s="2" t="s">
        <v>2125</v>
      </c>
      <c r="H717" s="2" t="s">
        <v>2283</v>
      </c>
      <c r="I717" s="1" t="s">
        <v>100</v>
      </c>
      <c r="J717" s="1" t="s">
        <v>78</v>
      </c>
      <c r="K717" s="6" t="s">
        <v>40</v>
      </c>
      <c r="L717" s="1"/>
    </row>
    <row r="718" spans="1:12" ht="15.75" customHeight="1">
      <c r="A718" s="1" t="s">
        <v>2284</v>
      </c>
      <c r="B718" s="2" t="s">
        <v>2052</v>
      </c>
      <c r="C718" s="2" t="s">
        <v>2053</v>
      </c>
      <c r="D718" s="2" t="s">
        <v>698</v>
      </c>
      <c r="E718" s="2" t="s">
        <v>2054</v>
      </c>
      <c r="F718" s="2" t="s">
        <v>126</v>
      </c>
      <c r="G718" s="2" t="s">
        <v>2055</v>
      </c>
      <c r="H718" s="2" t="s">
        <v>2285</v>
      </c>
      <c r="I718" s="1" t="s">
        <v>143</v>
      </c>
      <c r="J718" s="1" t="s">
        <v>28</v>
      </c>
      <c r="K718" s="6" t="s">
        <v>40</v>
      </c>
      <c r="L718" s="1"/>
    </row>
    <row r="719" spans="1:12" ht="15.75" customHeight="1">
      <c r="A719" s="1" t="s">
        <v>2286</v>
      </c>
      <c r="B719" s="2" t="s">
        <v>2084</v>
      </c>
      <c r="C719" s="2" t="s">
        <v>2053</v>
      </c>
      <c r="D719" s="2" t="s">
        <v>698</v>
      </c>
      <c r="E719" s="2" t="s">
        <v>2085</v>
      </c>
      <c r="F719" s="2" t="s">
        <v>120</v>
      </c>
      <c r="G719" s="2" t="s">
        <v>2086</v>
      </c>
      <c r="H719" s="2" t="s">
        <v>2287</v>
      </c>
      <c r="I719" s="1" t="s">
        <v>116</v>
      </c>
      <c r="J719" s="1" t="s">
        <v>35</v>
      </c>
      <c r="K719" s="6" t="s">
        <v>40</v>
      </c>
      <c r="L719" s="1"/>
    </row>
    <row r="720" spans="1:12" ht="15.75" customHeight="1">
      <c r="A720" s="1" t="s">
        <v>2288</v>
      </c>
      <c r="B720" s="2" t="s">
        <v>2250</v>
      </c>
      <c r="C720" s="2" t="s">
        <v>2053</v>
      </c>
      <c r="D720" s="2" t="s">
        <v>698</v>
      </c>
      <c r="E720" s="2" t="s">
        <v>2251</v>
      </c>
      <c r="F720" s="2" t="s">
        <v>180</v>
      </c>
      <c r="G720" s="2" t="s">
        <v>2252</v>
      </c>
      <c r="H720" s="2" t="s">
        <v>2289</v>
      </c>
      <c r="I720" s="1" t="s">
        <v>100</v>
      </c>
      <c r="J720" s="1" t="s">
        <v>78</v>
      </c>
      <c r="K720" s="6" t="s">
        <v>40</v>
      </c>
      <c r="L720" s="1"/>
    </row>
    <row r="721" spans="1:12" ht="15.75" customHeight="1">
      <c r="A721" s="1" t="s">
        <v>2290</v>
      </c>
      <c r="B721" s="2" t="s">
        <v>2153</v>
      </c>
      <c r="C721" s="2" t="s">
        <v>2053</v>
      </c>
      <c r="D721" s="2" t="s">
        <v>698</v>
      </c>
      <c r="E721" s="2" t="s">
        <v>2154</v>
      </c>
      <c r="F721" s="2" t="s">
        <v>24</v>
      </c>
      <c r="G721" s="2" t="s">
        <v>2155</v>
      </c>
      <c r="H721" s="4" t="s">
        <v>2291</v>
      </c>
      <c r="I721" s="1" t="s">
        <v>143</v>
      </c>
      <c r="J721" s="1" t="s">
        <v>28</v>
      </c>
      <c r="K721" s="6" t="s">
        <v>40</v>
      </c>
      <c r="L721" s="1"/>
    </row>
    <row r="722" spans="1:12" ht="15.75" customHeight="1">
      <c r="A722" s="1" t="s">
        <v>2292</v>
      </c>
      <c r="B722" s="2" t="s">
        <v>2070</v>
      </c>
      <c r="C722" s="2" t="s">
        <v>2053</v>
      </c>
      <c r="D722" s="2" t="s">
        <v>698</v>
      </c>
      <c r="E722" s="2" t="s">
        <v>2071</v>
      </c>
      <c r="F722" s="2" t="s">
        <v>126</v>
      </c>
      <c r="G722" s="2" t="s">
        <v>2072</v>
      </c>
      <c r="H722" s="2" t="s">
        <v>2293</v>
      </c>
      <c r="I722" s="1" t="s">
        <v>143</v>
      </c>
      <c r="J722" s="1" t="s">
        <v>28</v>
      </c>
      <c r="K722" s="6" t="s">
        <v>40</v>
      </c>
      <c r="L722" s="1"/>
    </row>
    <row r="723" spans="1:12" ht="15.75" customHeight="1">
      <c r="A723" s="1" t="s">
        <v>2294</v>
      </c>
      <c r="B723" s="2" t="s">
        <v>2123</v>
      </c>
      <c r="C723" s="2" t="s">
        <v>2053</v>
      </c>
      <c r="D723" s="2" t="s">
        <v>698</v>
      </c>
      <c r="E723" s="2" t="s">
        <v>2124</v>
      </c>
      <c r="F723" s="2" t="s">
        <v>15</v>
      </c>
      <c r="G723" s="2" t="s">
        <v>2125</v>
      </c>
      <c r="H723" s="2" t="s">
        <v>2295</v>
      </c>
      <c r="I723" s="1" t="s">
        <v>116</v>
      </c>
      <c r="J723" s="1" t="s">
        <v>35</v>
      </c>
      <c r="K723" s="6" t="s">
        <v>40</v>
      </c>
      <c r="L723" s="1"/>
    </row>
    <row r="724" spans="1:12" ht="15.75" customHeight="1">
      <c r="A724" s="1" t="s">
        <v>2296</v>
      </c>
      <c r="B724" s="2" t="s">
        <v>2084</v>
      </c>
      <c r="C724" s="2" t="s">
        <v>2053</v>
      </c>
      <c r="D724" s="2" t="s">
        <v>698</v>
      </c>
      <c r="E724" s="2" t="s">
        <v>2085</v>
      </c>
      <c r="F724" s="2" t="s">
        <v>120</v>
      </c>
      <c r="G724" s="2" t="s">
        <v>2086</v>
      </c>
      <c r="H724" s="2" t="s">
        <v>2297</v>
      </c>
      <c r="I724" s="1" t="s">
        <v>100</v>
      </c>
      <c r="J724" s="1" t="s">
        <v>78</v>
      </c>
      <c r="K724" s="6" t="s">
        <v>40</v>
      </c>
      <c r="L724" s="1"/>
    </row>
    <row r="725" spans="1:12" ht="15.75" customHeight="1">
      <c r="A725" s="1" t="s">
        <v>2298</v>
      </c>
      <c r="B725" s="2" t="s">
        <v>2070</v>
      </c>
      <c r="C725" s="2" t="s">
        <v>2053</v>
      </c>
      <c r="D725" s="2" t="s">
        <v>698</v>
      </c>
      <c r="E725" s="2" t="s">
        <v>2071</v>
      </c>
      <c r="F725" s="2" t="s">
        <v>126</v>
      </c>
      <c r="G725" s="2" t="s">
        <v>2072</v>
      </c>
      <c r="H725" s="2" t="s">
        <v>2299</v>
      </c>
      <c r="I725" s="1" t="s">
        <v>143</v>
      </c>
      <c r="J725" s="1" t="s">
        <v>28</v>
      </c>
      <c r="K725" s="6" t="s">
        <v>40</v>
      </c>
      <c r="L725" s="1"/>
    </row>
    <row r="726" spans="1:12" ht="15.75" customHeight="1">
      <c r="A726" s="1" t="s">
        <v>2300</v>
      </c>
      <c r="B726" s="2" t="s">
        <v>2070</v>
      </c>
      <c r="C726" s="2" t="s">
        <v>2053</v>
      </c>
      <c r="D726" s="2" t="s">
        <v>698</v>
      </c>
      <c r="E726" s="2" t="s">
        <v>2071</v>
      </c>
      <c r="F726" s="2" t="s">
        <v>126</v>
      </c>
      <c r="G726" s="2" t="s">
        <v>2072</v>
      </c>
      <c r="H726" s="2" t="s">
        <v>2301</v>
      </c>
      <c r="I726" s="1" t="s">
        <v>143</v>
      </c>
      <c r="J726" s="1" t="s">
        <v>28</v>
      </c>
      <c r="K726" s="6" t="s">
        <v>40</v>
      </c>
      <c r="L726" s="1"/>
    </row>
    <row r="727" spans="1:12" ht="15.75" customHeight="1">
      <c r="A727" s="1" t="s">
        <v>2302</v>
      </c>
      <c r="B727" s="2" t="s">
        <v>2070</v>
      </c>
      <c r="C727" s="2" t="s">
        <v>2053</v>
      </c>
      <c r="D727" s="2" t="s">
        <v>698</v>
      </c>
      <c r="E727" s="2" t="s">
        <v>2071</v>
      </c>
      <c r="F727" s="2" t="s">
        <v>126</v>
      </c>
      <c r="G727" s="2" t="s">
        <v>2072</v>
      </c>
      <c r="H727" s="2" t="s">
        <v>2303</v>
      </c>
      <c r="I727" s="1" t="s">
        <v>143</v>
      </c>
      <c r="J727" s="1" t="s">
        <v>28</v>
      </c>
      <c r="K727" s="6" t="s">
        <v>40</v>
      </c>
      <c r="L727" s="1"/>
    </row>
    <row r="728" spans="1:12" ht="15.75" customHeight="1">
      <c r="A728" s="1" t="s">
        <v>2304</v>
      </c>
      <c r="B728" s="2" t="s">
        <v>2106</v>
      </c>
      <c r="C728" s="2" t="s">
        <v>2053</v>
      </c>
      <c r="D728" s="2" t="s">
        <v>698</v>
      </c>
      <c r="E728" s="2" t="s">
        <v>2107</v>
      </c>
      <c r="F728" s="2" t="s">
        <v>180</v>
      </c>
      <c r="G728" s="2" t="s">
        <v>2108</v>
      </c>
      <c r="H728" s="2" t="s">
        <v>2305</v>
      </c>
      <c r="I728" s="1" t="s">
        <v>116</v>
      </c>
      <c r="J728" s="1" t="s">
        <v>35</v>
      </c>
      <c r="K728" s="6" t="s">
        <v>40</v>
      </c>
      <c r="L728" s="1"/>
    </row>
    <row r="729" spans="1:12" ht="15.75" customHeight="1">
      <c r="A729" s="1" t="s">
        <v>2306</v>
      </c>
      <c r="B729" s="2" t="s">
        <v>2075</v>
      </c>
      <c r="C729" s="2" t="s">
        <v>2053</v>
      </c>
      <c r="D729" s="2" t="s">
        <v>698</v>
      </c>
      <c r="E729" s="2" t="s">
        <v>2076</v>
      </c>
      <c r="F729" s="2" t="s">
        <v>15</v>
      </c>
      <c r="G729" s="2" t="s">
        <v>2077</v>
      </c>
      <c r="H729" s="2" t="s">
        <v>2307</v>
      </c>
      <c r="I729" s="1" t="s">
        <v>143</v>
      </c>
      <c r="J729" s="1" t="s">
        <v>28</v>
      </c>
      <c r="K729" s="6" t="s">
        <v>40</v>
      </c>
      <c r="L729" s="1"/>
    </row>
    <row r="730" spans="1:12" ht="15.75" customHeight="1">
      <c r="A730" s="1" t="s">
        <v>2308</v>
      </c>
      <c r="B730" s="2" t="s">
        <v>2148</v>
      </c>
      <c r="C730" s="2" t="s">
        <v>2053</v>
      </c>
      <c r="D730" s="2" t="s">
        <v>698</v>
      </c>
      <c r="E730" s="2" t="s">
        <v>2149</v>
      </c>
      <c r="F730" s="2" t="s">
        <v>126</v>
      </c>
      <c r="G730" s="2" t="s">
        <v>2150</v>
      </c>
      <c r="H730" s="2" t="s">
        <v>2309</v>
      </c>
      <c r="I730" s="1" t="s">
        <v>143</v>
      </c>
      <c r="J730" s="1" t="s">
        <v>28</v>
      </c>
      <c r="K730" s="6" t="s">
        <v>40</v>
      </c>
      <c r="L730" s="1"/>
    </row>
    <row r="731" spans="1:12" ht="15.75" customHeight="1">
      <c r="A731" s="1" t="s">
        <v>2310</v>
      </c>
      <c r="B731" s="2" t="s">
        <v>2201</v>
      </c>
      <c r="C731" s="2" t="s">
        <v>2053</v>
      </c>
      <c r="D731" s="2" t="s">
        <v>698</v>
      </c>
      <c r="E731" s="2" t="s">
        <v>2202</v>
      </c>
      <c r="F731" s="2" t="s">
        <v>24</v>
      </c>
      <c r="G731" s="2" t="s">
        <v>2203</v>
      </c>
      <c r="H731" s="2" t="s">
        <v>2311</v>
      </c>
      <c r="I731" s="1" t="s">
        <v>143</v>
      </c>
      <c r="J731" s="1" t="s">
        <v>28</v>
      </c>
      <c r="K731" s="6" t="s">
        <v>40</v>
      </c>
      <c r="L731" s="1"/>
    </row>
    <row r="732" spans="1:12" ht="15.75" customHeight="1">
      <c r="A732" s="1" t="s">
        <v>2312</v>
      </c>
      <c r="B732" s="2" t="s">
        <v>2070</v>
      </c>
      <c r="C732" s="2" t="s">
        <v>2053</v>
      </c>
      <c r="D732" s="2" t="s">
        <v>698</v>
      </c>
      <c r="E732" s="2" t="s">
        <v>2071</v>
      </c>
      <c r="F732" s="2" t="s">
        <v>126</v>
      </c>
      <c r="G732" s="2" t="s">
        <v>2072</v>
      </c>
      <c r="H732" s="2" t="s">
        <v>2313</v>
      </c>
      <c r="I732" s="1" t="s">
        <v>143</v>
      </c>
      <c r="J732" s="1" t="s">
        <v>28</v>
      </c>
      <c r="K732" s="6" t="s">
        <v>40</v>
      </c>
      <c r="L732" s="1"/>
    </row>
    <row r="733" spans="1:12" ht="15.75" customHeight="1">
      <c r="A733" s="1" t="s">
        <v>2314</v>
      </c>
      <c r="B733" s="2" t="s">
        <v>2106</v>
      </c>
      <c r="C733" s="2" t="s">
        <v>2053</v>
      </c>
      <c r="D733" s="2" t="s">
        <v>698</v>
      </c>
      <c r="E733" s="2" t="s">
        <v>2107</v>
      </c>
      <c r="F733" s="2" t="s">
        <v>180</v>
      </c>
      <c r="G733" s="2" t="s">
        <v>2108</v>
      </c>
      <c r="H733" s="2" t="s">
        <v>2315</v>
      </c>
      <c r="I733" s="1" t="s">
        <v>143</v>
      </c>
      <c r="J733" s="1" t="s">
        <v>28</v>
      </c>
      <c r="K733" s="6" t="s">
        <v>40</v>
      </c>
      <c r="L733" s="1"/>
    </row>
    <row r="734" spans="1:12" ht="15.75" customHeight="1">
      <c r="A734" s="1" t="s">
        <v>2316</v>
      </c>
      <c r="B734" s="2" t="s">
        <v>2070</v>
      </c>
      <c r="C734" s="2" t="s">
        <v>2053</v>
      </c>
      <c r="D734" s="2" t="s">
        <v>698</v>
      </c>
      <c r="E734" s="2" t="s">
        <v>2071</v>
      </c>
      <c r="F734" s="2" t="s">
        <v>126</v>
      </c>
      <c r="G734" s="2" t="s">
        <v>2072</v>
      </c>
      <c r="H734" s="2" t="s">
        <v>2317</v>
      </c>
      <c r="I734" s="1" t="s">
        <v>143</v>
      </c>
      <c r="J734" s="1" t="s">
        <v>28</v>
      </c>
      <c r="K734" s="6" t="s">
        <v>40</v>
      </c>
      <c r="L734" s="1"/>
    </row>
    <row r="735" spans="1:12" ht="15.75" customHeight="1">
      <c r="A735" s="1" t="s">
        <v>2318</v>
      </c>
      <c r="B735" s="2" t="s">
        <v>2095</v>
      </c>
      <c r="C735" s="2" t="s">
        <v>2053</v>
      </c>
      <c r="D735" s="2" t="s">
        <v>698</v>
      </c>
      <c r="E735" s="2" t="s">
        <v>2096</v>
      </c>
      <c r="F735" s="2" t="s">
        <v>126</v>
      </c>
      <c r="G735" s="2" t="s">
        <v>2097</v>
      </c>
      <c r="H735" s="2" t="s">
        <v>2319</v>
      </c>
      <c r="I735" s="1" t="s">
        <v>100</v>
      </c>
      <c r="J735" s="1" t="s">
        <v>78</v>
      </c>
      <c r="K735" s="6" t="s">
        <v>40</v>
      </c>
      <c r="L735" s="1"/>
    </row>
    <row r="736" spans="1:12" ht="15.75" customHeight="1">
      <c r="A736" s="1" t="s">
        <v>2320</v>
      </c>
      <c r="B736" s="2" t="s">
        <v>2095</v>
      </c>
      <c r="C736" s="2" t="s">
        <v>2053</v>
      </c>
      <c r="D736" s="2" t="s">
        <v>698</v>
      </c>
      <c r="E736" s="2" t="s">
        <v>2096</v>
      </c>
      <c r="F736" s="2" t="s">
        <v>126</v>
      </c>
      <c r="G736" s="2" t="s">
        <v>2097</v>
      </c>
      <c r="H736" s="2" t="s">
        <v>2321</v>
      </c>
      <c r="I736" s="1" t="s">
        <v>116</v>
      </c>
      <c r="J736" s="1" t="s">
        <v>35</v>
      </c>
      <c r="K736" s="6" t="s">
        <v>40</v>
      </c>
      <c r="L736" s="1"/>
    </row>
    <row r="737" spans="1:12" ht="15.75" customHeight="1">
      <c r="A737" s="1" t="s">
        <v>2322</v>
      </c>
      <c r="B737" s="2" t="s">
        <v>2052</v>
      </c>
      <c r="C737" s="2" t="s">
        <v>2053</v>
      </c>
      <c r="D737" s="2" t="s">
        <v>698</v>
      </c>
      <c r="E737" s="2" t="s">
        <v>2054</v>
      </c>
      <c r="F737" s="2" t="s">
        <v>126</v>
      </c>
      <c r="G737" s="2" t="s">
        <v>2055</v>
      </c>
      <c r="H737" s="2" t="s">
        <v>2323</v>
      </c>
      <c r="I737" s="1" t="s">
        <v>116</v>
      </c>
      <c r="J737" s="1" t="s">
        <v>35</v>
      </c>
      <c r="K737" s="6" t="s">
        <v>40</v>
      </c>
      <c r="L737" s="1"/>
    </row>
    <row r="738" spans="1:12" ht="15.75" customHeight="1">
      <c r="A738" s="1" t="s">
        <v>2324</v>
      </c>
      <c r="B738" s="2" t="s">
        <v>2070</v>
      </c>
      <c r="C738" s="2" t="s">
        <v>2053</v>
      </c>
      <c r="D738" s="2" t="s">
        <v>698</v>
      </c>
      <c r="E738" s="2" t="s">
        <v>2071</v>
      </c>
      <c r="F738" s="2" t="s">
        <v>126</v>
      </c>
      <c r="G738" s="2" t="s">
        <v>2072</v>
      </c>
      <c r="H738" s="2" t="s">
        <v>2325</v>
      </c>
      <c r="I738" s="1" t="s">
        <v>143</v>
      </c>
      <c r="J738" s="1" t="s">
        <v>28</v>
      </c>
      <c r="K738" s="6" t="s">
        <v>40</v>
      </c>
      <c r="L738" s="1"/>
    </row>
    <row r="739" spans="1:12" ht="15.75" customHeight="1">
      <c r="A739" s="1" t="s">
        <v>2326</v>
      </c>
      <c r="B739" s="2" t="s">
        <v>2058</v>
      </c>
      <c r="C739" s="2" t="s">
        <v>2053</v>
      </c>
      <c r="D739" s="2" t="s">
        <v>698</v>
      </c>
      <c r="E739" s="2" t="s">
        <v>2059</v>
      </c>
      <c r="F739" s="2" t="s">
        <v>24</v>
      </c>
      <c r="G739" s="2" t="s">
        <v>2060</v>
      </c>
      <c r="H739" s="2" t="s">
        <v>2327</v>
      </c>
      <c r="I739" s="1" t="s">
        <v>116</v>
      </c>
      <c r="J739" s="1" t="s">
        <v>35</v>
      </c>
      <c r="K739" s="6" t="s">
        <v>40</v>
      </c>
      <c r="L739" s="1"/>
    </row>
    <row r="740" spans="1:12" ht="15.75" customHeight="1">
      <c r="A740" s="1" t="s">
        <v>2328</v>
      </c>
      <c r="B740" s="2" t="s">
        <v>2148</v>
      </c>
      <c r="C740" s="2" t="s">
        <v>2053</v>
      </c>
      <c r="D740" s="2" t="s">
        <v>698</v>
      </c>
      <c r="E740" s="2" t="s">
        <v>2149</v>
      </c>
      <c r="F740" s="2" t="s">
        <v>126</v>
      </c>
      <c r="G740" s="2" t="s">
        <v>2150</v>
      </c>
      <c r="H740" s="2" t="s">
        <v>2329</v>
      </c>
      <c r="I740" s="1" t="s">
        <v>143</v>
      </c>
      <c r="J740" s="1" t="s">
        <v>28</v>
      </c>
      <c r="K740" s="6" t="s">
        <v>40</v>
      </c>
      <c r="L740" s="1"/>
    </row>
    <row r="741" spans="1:12" ht="15.75" customHeight="1">
      <c r="A741" s="1" t="s">
        <v>2330</v>
      </c>
      <c r="B741" s="2" t="s">
        <v>2052</v>
      </c>
      <c r="C741" s="2" t="s">
        <v>2053</v>
      </c>
      <c r="D741" s="2" t="s">
        <v>698</v>
      </c>
      <c r="E741" s="2" t="s">
        <v>2054</v>
      </c>
      <c r="F741" s="2" t="s">
        <v>126</v>
      </c>
      <c r="G741" s="2" t="s">
        <v>2055</v>
      </c>
      <c r="H741" s="2" t="s">
        <v>2331</v>
      </c>
      <c r="I741" s="1" t="s">
        <v>143</v>
      </c>
      <c r="J741" s="1" t="s">
        <v>28</v>
      </c>
      <c r="K741" s="6" t="s">
        <v>40</v>
      </c>
      <c r="L741" s="1"/>
    </row>
    <row r="742" spans="1:12" ht="15.75" customHeight="1">
      <c r="A742" s="1" t="s">
        <v>2332</v>
      </c>
      <c r="B742" s="2" t="s">
        <v>2201</v>
      </c>
      <c r="C742" s="2" t="s">
        <v>2053</v>
      </c>
      <c r="D742" s="2" t="s">
        <v>698</v>
      </c>
      <c r="E742" s="2" t="s">
        <v>2202</v>
      </c>
      <c r="F742" s="2" t="s">
        <v>24</v>
      </c>
      <c r="G742" s="2" t="s">
        <v>2203</v>
      </c>
      <c r="H742" s="2" t="s">
        <v>2333</v>
      </c>
      <c r="I742" s="1" t="s">
        <v>143</v>
      </c>
      <c r="J742" s="1" t="s">
        <v>28</v>
      </c>
      <c r="K742" s="6" t="s">
        <v>40</v>
      </c>
      <c r="L742" s="1"/>
    </row>
    <row r="743" spans="1:12" ht="15.75" customHeight="1">
      <c r="A743" s="1" t="s">
        <v>2334</v>
      </c>
      <c r="B743" s="2" t="s">
        <v>2148</v>
      </c>
      <c r="C743" s="2" t="s">
        <v>2053</v>
      </c>
      <c r="D743" s="2" t="s">
        <v>698</v>
      </c>
      <c r="E743" s="2" t="s">
        <v>2149</v>
      </c>
      <c r="F743" s="2" t="s">
        <v>126</v>
      </c>
      <c r="G743" s="2" t="s">
        <v>2150</v>
      </c>
      <c r="H743" s="2" t="s">
        <v>2335</v>
      </c>
      <c r="I743" s="1" t="s">
        <v>143</v>
      </c>
      <c r="J743" s="1" t="s">
        <v>28</v>
      </c>
      <c r="K743" s="6" t="s">
        <v>40</v>
      </c>
      <c r="L743" s="1"/>
    </row>
    <row r="744" spans="1:12" ht="15.75" customHeight="1">
      <c r="A744" s="1" t="s">
        <v>2336</v>
      </c>
      <c r="B744" s="2" t="s">
        <v>2135</v>
      </c>
      <c r="C744" s="2" t="s">
        <v>2053</v>
      </c>
      <c r="D744" s="2" t="s">
        <v>698</v>
      </c>
      <c r="E744" s="2" t="s">
        <v>2136</v>
      </c>
      <c r="F744" s="2" t="s">
        <v>15</v>
      </c>
      <c r="G744" s="2" t="s">
        <v>2137</v>
      </c>
      <c r="H744" s="2" t="s">
        <v>2337</v>
      </c>
      <c r="I744" s="1" t="s">
        <v>143</v>
      </c>
      <c r="J744" s="1" t="s">
        <v>28</v>
      </c>
      <c r="K744" s="6" t="s">
        <v>40</v>
      </c>
      <c r="L744" s="1"/>
    </row>
    <row r="745" spans="1:12" ht="15.75" customHeight="1">
      <c r="A745" s="1" t="s">
        <v>2338</v>
      </c>
      <c r="B745" s="2" t="s">
        <v>2106</v>
      </c>
      <c r="C745" s="2" t="s">
        <v>2053</v>
      </c>
      <c r="D745" s="2" t="s">
        <v>698</v>
      </c>
      <c r="E745" s="2" t="s">
        <v>2107</v>
      </c>
      <c r="F745" s="2" t="s">
        <v>180</v>
      </c>
      <c r="G745" s="2" t="s">
        <v>2108</v>
      </c>
      <c r="H745" s="2" t="s">
        <v>2339</v>
      </c>
      <c r="I745" s="1" t="s">
        <v>100</v>
      </c>
      <c r="J745" s="1" t="s">
        <v>78</v>
      </c>
      <c r="K745" s="6" t="s">
        <v>40</v>
      </c>
      <c r="L745" s="1"/>
    </row>
    <row r="746" spans="1:12" ht="15.75" customHeight="1">
      <c r="A746" s="1" t="s">
        <v>2340</v>
      </c>
      <c r="B746" s="2" t="s">
        <v>2070</v>
      </c>
      <c r="C746" s="2" t="s">
        <v>2053</v>
      </c>
      <c r="D746" s="2" t="s">
        <v>698</v>
      </c>
      <c r="E746" s="2" t="s">
        <v>2071</v>
      </c>
      <c r="F746" s="2" t="s">
        <v>126</v>
      </c>
      <c r="G746" s="2" t="s">
        <v>2072</v>
      </c>
      <c r="H746" s="2" t="s">
        <v>2341</v>
      </c>
      <c r="I746" s="1" t="s">
        <v>143</v>
      </c>
      <c r="J746" s="1" t="s">
        <v>28</v>
      </c>
      <c r="K746" s="6" t="s">
        <v>40</v>
      </c>
      <c r="L746" s="1"/>
    </row>
    <row r="747" spans="1:12" ht="15.75" customHeight="1">
      <c r="A747" s="1" t="s">
        <v>2342</v>
      </c>
      <c r="B747" s="2" t="s">
        <v>2135</v>
      </c>
      <c r="C747" s="2" t="s">
        <v>2053</v>
      </c>
      <c r="D747" s="2" t="s">
        <v>698</v>
      </c>
      <c r="E747" s="2" t="s">
        <v>2136</v>
      </c>
      <c r="F747" s="2" t="s">
        <v>15</v>
      </c>
      <c r="G747" s="2" t="s">
        <v>2137</v>
      </c>
      <c r="H747" s="2" t="s">
        <v>2343</v>
      </c>
      <c r="I747" s="1" t="s">
        <v>143</v>
      </c>
      <c r="J747" s="1" t="s">
        <v>28</v>
      </c>
      <c r="K747" s="6" t="s">
        <v>40</v>
      </c>
      <c r="L747" s="1"/>
    </row>
    <row r="748" spans="1:12" ht="15.75" customHeight="1">
      <c r="A748" s="1" t="s">
        <v>2344</v>
      </c>
      <c r="B748" s="2" t="s">
        <v>2084</v>
      </c>
      <c r="C748" s="2" t="s">
        <v>2053</v>
      </c>
      <c r="D748" s="2" t="s">
        <v>698</v>
      </c>
      <c r="E748" s="2" t="s">
        <v>2085</v>
      </c>
      <c r="F748" s="2" t="s">
        <v>120</v>
      </c>
      <c r="G748" s="2" t="s">
        <v>2086</v>
      </c>
      <c r="H748" s="2" t="s">
        <v>2345</v>
      </c>
      <c r="I748" s="1" t="s">
        <v>116</v>
      </c>
      <c r="J748" s="1" t="s">
        <v>35</v>
      </c>
      <c r="K748" s="6" t="s">
        <v>40</v>
      </c>
      <c r="L748" s="1"/>
    </row>
    <row r="749" spans="1:12" ht="15.75" customHeight="1">
      <c r="A749" s="1" t="s">
        <v>2346</v>
      </c>
      <c r="B749" s="2" t="s">
        <v>2070</v>
      </c>
      <c r="C749" s="2" t="s">
        <v>2053</v>
      </c>
      <c r="D749" s="2" t="s">
        <v>698</v>
      </c>
      <c r="E749" s="2" t="s">
        <v>2071</v>
      </c>
      <c r="F749" s="2" t="s">
        <v>126</v>
      </c>
      <c r="G749" s="2" t="s">
        <v>2072</v>
      </c>
      <c r="H749" s="2" t="s">
        <v>2347</v>
      </c>
      <c r="I749" s="1" t="s">
        <v>143</v>
      </c>
      <c r="J749" s="1" t="s">
        <v>28</v>
      </c>
      <c r="K749" s="6" t="s">
        <v>40</v>
      </c>
      <c r="L749" s="1"/>
    </row>
    <row r="750" spans="1:12" ht="15.75" customHeight="1">
      <c r="A750" s="1" t="s">
        <v>2348</v>
      </c>
      <c r="B750" s="2" t="s">
        <v>2084</v>
      </c>
      <c r="C750" s="2" t="s">
        <v>2053</v>
      </c>
      <c r="D750" s="2" t="s">
        <v>698</v>
      </c>
      <c r="E750" s="2" t="s">
        <v>2085</v>
      </c>
      <c r="F750" s="2" t="s">
        <v>120</v>
      </c>
      <c r="G750" s="2" t="s">
        <v>2086</v>
      </c>
      <c r="H750" s="2" t="s">
        <v>2349</v>
      </c>
      <c r="I750" s="1" t="s">
        <v>116</v>
      </c>
      <c r="J750" s="1" t="s">
        <v>35</v>
      </c>
      <c r="K750" s="6" t="s">
        <v>40</v>
      </c>
      <c r="L750" s="1"/>
    </row>
    <row r="751" spans="1:12" ht="15.75" customHeight="1">
      <c r="A751" s="1" t="s">
        <v>2350</v>
      </c>
      <c r="B751" s="2" t="s">
        <v>2351</v>
      </c>
      <c r="C751" s="2" t="s">
        <v>2352</v>
      </c>
      <c r="D751" s="2" t="s">
        <v>1204</v>
      </c>
      <c r="E751" s="2" t="s">
        <v>2353</v>
      </c>
      <c r="F751" s="2" t="s">
        <v>61</v>
      </c>
      <c r="G751" s="8" t="s">
        <v>2354</v>
      </c>
      <c r="H751" s="2" t="s">
        <v>2355</v>
      </c>
      <c r="I751" s="1" t="s">
        <v>29</v>
      </c>
      <c r="J751" s="1" t="s">
        <v>35</v>
      </c>
      <c r="K751" s="6" t="s">
        <v>40</v>
      </c>
      <c r="L751" s="1"/>
    </row>
    <row r="752" spans="1:12" ht="15.75" customHeight="1">
      <c r="A752" s="1" t="s">
        <v>2356</v>
      </c>
      <c r="B752" s="2" t="s">
        <v>2357</v>
      </c>
      <c r="C752" s="2" t="s">
        <v>2352</v>
      </c>
      <c r="D752" s="2" t="s">
        <v>1204</v>
      </c>
      <c r="E752" s="2" t="s">
        <v>2358</v>
      </c>
      <c r="F752" s="2" t="s">
        <v>180</v>
      </c>
      <c r="G752" s="8" t="s">
        <v>2359</v>
      </c>
      <c r="H752" s="2" t="s">
        <v>2360</v>
      </c>
      <c r="I752" s="1" t="s">
        <v>34</v>
      </c>
      <c r="J752" s="1" t="s">
        <v>35</v>
      </c>
      <c r="K752" s="6" t="s">
        <v>40</v>
      </c>
      <c r="L752" s="1"/>
    </row>
    <row r="753" spans="1:12" ht="15.75" customHeight="1">
      <c r="A753" s="1" t="s">
        <v>2361</v>
      </c>
      <c r="B753" s="2" t="s">
        <v>2362</v>
      </c>
      <c r="C753" s="2" t="s">
        <v>2352</v>
      </c>
      <c r="D753" s="2" t="s">
        <v>1204</v>
      </c>
      <c r="E753" s="2" t="s">
        <v>2363</v>
      </c>
      <c r="F753" s="2" t="s">
        <v>180</v>
      </c>
      <c r="G753" s="8" t="s">
        <v>2364</v>
      </c>
      <c r="H753" s="2" t="s">
        <v>2365</v>
      </c>
      <c r="I753" s="1" t="s">
        <v>1711</v>
      </c>
      <c r="J753" s="1" t="s">
        <v>50</v>
      </c>
      <c r="K753" s="6" t="s">
        <v>40</v>
      </c>
      <c r="L753" s="1"/>
    </row>
    <row r="754" spans="1:12" ht="15.75" customHeight="1">
      <c r="A754" s="1" t="s">
        <v>2366</v>
      </c>
      <c r="B754" s="2" t="s">
        <v>2367</v>
      </c>
      <c r="C754" s="2" t="s">
        <v>2352</v>
      </c>
      <c r="D754" s="2" t="s">
        <v>1204</v>
      </c>
      <c r="E754" s="2" t="s">
        <v>2368</v>
      </c>
      <c r="F754" s="2" t="s">
        <v>120</v>
      </c>
      <c r="G754" s="8" t="s">
        <v>2369</v>
      </c>
      <c r="H754" s="2" t="s">
        <v>2370</v>
      </c>
      <c r="I754" s="1" t="s">
        <v>34</v>
      </c>
      <c r="J754" s="1" t="s">
        <v>35</v>
      </c>
      <c r="K754" s="6" t="s">
        <v>40</v>
      </c>
      <c r="L754" s="1"/>
    </row>
    <row r="755" spans="1:12" ht="15.75" customHeight="1">
      <c r="A755" s="1" t="s">
        <v>2371</v>
      </c>
      <c r="B755" s="2" t="s">
        <v>2372</v>
      </c>
      <c r="C755" s="2" t="s">
        <v>2352</v>
      </c>
      <c r="D755" s="2" t="s">
        <v>1204</v>
      </c>
      <c r="E755" s="2" t="s">
        <v>2373</v>
      </c>
      <c r="F755" s="2" t="s">
        <v>61</v>
      </c>
      <c r="G755" s="10" t="s">
        <v>2374</v>
      </c>
      <c r="H755" s="2" t="s">
        <v>2375</v>
      </c>
      <c r="I755" s="1" t="s">
        <v>21</v>
      </c>
      <c r="J755" s="1" t="s">
        <v>19</v>
      </c>
      <c r="K755" s="6" t="s">
        <v>40</v>
      </c>
      <c r="L755" s="1"/>
    </row>
    <row r="756" spans="1:12" ht="15.75" customHeight="1">
      <c r="A756" s="1" t="s">
        <v>2376</v>
      </c>
      <c r="B756" s="2" t="s">
        <v>2377</v>
      </c>
      <c r="C756" s="2" t="s">
        <v>2352</v>
      </c>
      <c r="D756" s="2" t="s">
        <v>1204</v>
      </c>
      <c r="E756" s="2" t="s">
        <v>2378</v>
      </c>
      <c r="F756" s="2" t="s">
        <v>180</v>
      </c>
      <c r="G756" s="8" t="s">
        <v>2379</v>
      </c>
      <c r="H756" s="2" t="s">
        <v>2380</v>
      </c>
      <c r="I756" s="1" t="s">
        <v>1711</v>
      </c>
      <c r="J756" s="1" t="s">
        <v>50</v>
      </c>
      <c r="K756" s="6" t="s">
        <v>40</v>
      </c>
      <c r="L756" s="1"/>
    </row>
    <row r="757" spans="1:12" ht="15.75" customHeight="1">
      <c r="A757" s="1" t="s">
        <v>2381</v>
      </c>
      <c r="B757" s="2" t="s">
        <v>2362</v>
      </c>
      <c r="C757" s="2" t="s">
        <v>2352</v>
      </c>
      <c r="D757" s="2" t="s">
        <v>1204</v>
      </c>
      <c r="E757" s="2" t="s">
        <v>2363</v>
      </c>
      <c r="F757" s="2" t="s">
        <v>180</v>
      </c>
      <c r="G757" s="8" t="s">
        <v>2364</v>
      </c>
      <c r="H757" s="2" t="s">
        <v>2382</v>
      </c>
      <c r="I757" s="1" t="s">
        <v>351</v>
      </c>
      <c r="J757" s="1" t="s">
        <v>28</v>
      </c>
      <c r="K757" s="6" t="s">
        <v>40</v>
      </c>
      <c r="L757" s="1"/>
    </row>
    <row r="758" spans="1:12" ht="15.75" customHeight="1">
      <c r="A758" s="1" t="s">
        <v>2383</v>
      </c>
      <c r="B758" s="2" t="s">
        <v>2351</v>
      </c>
      <c r="C758" s="2" t="s">
        <v>2352</v>
      </c>
      <c r="D758" s="2" t="s">
        <v>1204</v>
      </c>
      <c r="E758" s="2" t="s">
        <v>2353</v>
      </c>
      <c r="F758" s="2" t="s">
        <v>61</v>
      </c>
      <c r="G758" s="8" t="s">
        <v>2354</v>
      </c>
      <c r="H758" s="2" t="s">
        <v>2384</v>
      </c>
      <c r="I758" s="1" t="s">
        <v>21</v>
      </c>
      <c r="J758" s="1" t="s">
        <v>19</v>
      </c>
      <c r="K758" s="6" t="s">
        <v>40</v>
      </c>
      <c r="L758" s="1"/>
    </row>
    <row r="759" spans="1:12" ht="15.75" customHeight="1">
      <c r="A759" s="1" t="s">
        <v>2385</v>
      </c>
      <c r="B759" s="2" t="s">
        <v>2386</v>
      </c>
      <c r="C759" s="2" t="s">
        <v>2352</v>
      </c>
      <c r="D759" s="2" t="s">
        <v>1204</v>
      </c>
      <c r="E759" s="2" t="s">
        <v>2387</v>
      </c>
      <c r="F759" s="2" t="s">
        <v>24</v>
      </c>
      <c r="G759" s="8" t="s">
        <v>2388</v>
      </c>
      <c r="H759" s="2" t="s">
        <v>2389</v>
      </c>
      <c r="I759" s="1" t="s">
        <v>27</v>
      </c>
      <c r="J759" s="1" t="s">
        <v>28</v>
      </c>
      <c r="K759" s="6" t="s">
        <v>40</v>
      </c>
      <c r="L759" s="1"/>
    </row>
    <row r="760" spans="1:12" ht="15.75" customHeight="1">
      <c r="A760" s="1" t="s">
        <v>2390</v>
      </c>
      <c r="B760" s="2" t="s">
        <v>2391</v>
      </c>
      <c r="C760" s="2" t="s">
        <v>2392</v>
      </c>
      <c r="D760" s="2" t="s">
        <v>44</v>
      </c>
      <c r="E760" s="2" t="s">
        <v>2393</v>
      </c>
      <c r="F760" s="2" t="s">
        <v>180</v>
      </c>
      <c r="G760" s="8" t="s">
        <v>2394</v>
      </c>
      <c r="H760" s="2" t="s">
        <v>2395</v>
      </c>
      <c r="I760" s="1" t="s">
        <v>2396</v>
      </c>
      <c r="J760" s="1" t="s">
        <v>35</v>
      </c>
      <c r="K760" s="6" t="s">
        <v>40</v>
      </c>
      <c r="L760" s="1"/>
    </row>
    <row r="761" spans="1:12" ht="15.75" customHeight="1">
      <c r="A761" s="1" t="s">
        <v>2397</v>
      </c>
      <c r="B761" s="2" t="s">
        <v>2398</v>
      </c>
      <c r="C761" s="2" t="s">
        <v>2392</v>
      </c>
      <c r="D761" s="2" t="s">
        <v>44</v>
      </c>
      <c r="E761" s="2" t="s">
        <v>2399</v>
      </c>
      <c r="F761" s="2" t="s">
        <v>24</v>
      </c>
      <c r="G761" s="8" t="s">
        <v>2400</v>
      </c>
      <c r="H761" s="2" t="s">
        <v>2401</v>
      </c>
      <c r="I761" s="1" t="s">
        <v>2402</v>
      </c>
      <c r="J761" s="1" t="s">
        <v>35</v>
      </c>
      <c r="K761" s="6" t="s">
        <v>40</v>
      </c>
      <c r="L761" s="1"/>
    </row>
    <row r="762" spans="1:12" ht="15.75" customHeight="1">
      <c r="A762" s="1" t="s">
        <v>2403</v>
      </c>
      <c r="B762" s="2" t="s">
        <v>2404</v>
      </c>
      <c r="C762" s="2" t="s">
        <v>2392</v>
      </c>
      <c r="D762" s="2" t="s">
        <v>44</v>
      </c>
      <c r="E762" s="2" t="s">
        <v>2405</v>
      </c>
      <c r="F762" s="2" t="s">
        <v>264</v>
      </c>
      <c r="G762" s="8" t="s">
        <v>2406</v>
      </c>
      <c r="H762" s="2" t="s">
        <v>2407</v>
      </c>
      <c r="I762" s="1" t="s">
        <v>2408</v>
      </c>
      <c r="J762" s="1" t="s">
        <v>50</v>
      </c>
      <c r="K762" s="6" t="s">
        <v>40</v>
      </c>
      <c r="L762" s="1"/>
    </row>
    <row r="763" spans="1:12" ht="15.75" customHeight="1">
      <c r="A763" s="1" t="s">
        <v>2409</v>
      </c>
      <c r="B763" s="2" t="s">
        <v>2410</v>
      </c>
      <c r="C763" s="2" t="s">
        <v>2392</v>
      </c>
      <c r="D763" s="2" t="s">
        <v>44</v>
      </c>
      <c r="E763" s="2" t="s">
        <v>2411</v>
      </c>
      <c r="F763" s="2" t="s">
        <v>15</v>
      </c>
      <c r="G763" s="8" t="s">
        <v>2412</v>
      </c>
      <c r="H763" s="2" t="s">
        <v>2413</v>
      </c>
      <c r="I763" s="1" t="s">
        <v>2414</v>
      </c>
      <c r="J763" s="1" t="s">
        <v>28</v>
      </c>
      <c r="K763" s="6" t="s">
        <v>40</v>
      </c>
      <c r="L763" s="1"/>
    </row>
    <row r="764" spans="1:12" ht="15.75" customHeight="1">
      <c r="A764" s="1" t="s">
        <v>2415</v>
      </c>
      <c r="B764" s="2" t="s">
        <v>2416</v>
      </c>
      <c r="C764" s="2" t="s">
        <v>2392</v>
      </c>
      <c r="D764" s="2" t="s">
        <v>44</v>
      </c>
      <c r="E764" s="2" t="s">
        <v>2417</v>
      </c>
      <c r="F764" s="2" t="s">
        <v>140</v>
      </c>
      <c r="G764" s="8" t="s">
        <v>2418</v>
      </c>
      <c r="H764" s="2" t="s">
        <v>2419</v>
      </c>
      <c r="I764" s="1" t="s">
        <v>2420</v>
      </c>
      <c r="J764" s="1" t="s">
        <v>50</v>
      </c>
      <c r="K764" s="6" t="s">
        <v>40</v>
      </c>
      <c r="L764" s="1"/>
    </row>
    <row r="765" spans="1:12" ht="15.75" customHeight="1">
      <c r="A765" s="1" t="s">
        <v>2421</v>
      </c>
      <c r="B765" s="2" t="s">
        <v>2410</v>
      </c>
      <c r="C765" s="2" t="s">
        <v>2392</v>
      </c>
      <c r="D765" s="2" t="s">
        <v>44</v>
      </c>
      <c r="E765" s="2" t="s">
        <v>2411</v>
      </c>
      <c r="F765" s="2" t="s">
        <v>15</v>
      </c>
      <c r="G765" s="8" t="s">
        <v>2412</v>
      </c>
      <c r="H765" s="2" t="s">
        <v>2422</v>
      </c>
      <c r="I765" s="1" t="s">
        <v>2414</v>
      </c>
      <c r="J765" s="1" t="s">
        <v>28</v>
      </c>
      <c r="K765" s="6" t="s">
        <v>40</v>
      </c>
      <c r="L765" s="1"/>
    </row>
    <row r="766" spans="1:12" ht="15.75" customHeight="1">
      <c r="A766" s="1" t="s">
        <v>2423</v>
      </c>
      <c r="B766" s="2" t="s">
        <v>2424</v>
      </c>
      <c r="C766" s="2" t="s">
        <v>2392</v>
      </c>
      <c r="D766" s="2" t="s">
        <v>44</v>
      </c>
      <c r="E766" s="2" t="s">
        <v>2425</v>
      </c>
      <c r="F766" s="2" t="s">
        <v>46</v>
      </c>
      <c r="G766" s="8" t="s">
        <v>2426</v>
      </c>
      <c r="H766" s="2" t="s">
        <v>2427</v>
      </c>
      <c r="I766" s="1" t="s">
        <v>2428</v>
      </c>
      <c r="J766" s="1" t="s">
        <v>35</v>
      </c>
      <c r="K766" s="6" t="s">
        <v>40</v>
      </c>
      <c r="L766" s="1"/>
    </row>
    <row r="767" spans="1:12" ht="15.75" customHeight="1">
      <c r="A767" s="1" t="s">
        <v>2429</v>
      </c>
      <c r="B767" s="2" t="s">
        <v>2430</v>
      </c>
      <c r="C767" s="2" t="s">
        <v>2392</v>
      </c>
      <c r="D767" s="2" t="s">
        <v>44</v>
      </c>
      <c r="E767" s="2" t="s">
        <v>2431</v>
      </c>
      <c r="F767" s="2" t="s">
        <v>157</v>
      </c>
      <c r="G767" s="8" t="s">
        <v>2432</v>
      </c>
      <c r="H767" s="2" t="s">
        <v>2433</v>
      </c>
      <c r="I767" s="1" t="s">
        <v>2434</v>
      </c>
      <c r="J767" s="1" t="s">
        <v>35</v>
      </c>
      <c r="K767" s="6" t="s">
        <v>40</v>
      </c>
      <c r="L767" s="1"/>
    </row>
    <row r="768" spans="1:12" ht="15.75" customHeight="1">
      <c r="A768" s="1" t="s">
        <v>2435</v>
      </c>
      <c r="B768" s="2" t="s">
        <v>2416</v>
      </c>
      <c r="C768" s="2" t="s">
        <v>2392</v>
      </c>
      <c r="D768" s="2" t="s">
        <v>44</v>
      </c>
      <c r="E768" s="2" t="s">
        <v>2417</v>
      </c>
      <c r="F768" s="2" t="s">
        <v>140</v>
      </c>
      <c r="G768" s="10" t="s">
        <v>2418</v>
      </c>
      <c r="H768" s="2" t="s">
        <v>2436</v>
      </c>
      <c r="I768" s="1" t="s">
        <v>2420</v>
      </c>
      <c r="J768" s="1" t="s">
        <v>50</v>
      </c>
      <c r="K768" s="6" t="s">
        <v>40</v>
      </c>
      <c r="L768" s="1"/>
    </row>
    <row r="769" spans="1:12" ht="15.75" customHeight="1">
      <c r="A769" s="1" t="s">
        <v>2437</v>
      </c>
      <c r="B769" s="2" t="s">
        <v>2438</v>
      </c>
      <c r="C769" s="2" t="s">
        <v>2392</v>
      </c>
      <c r="D769" s="2" t="s">
        <v>44</v>
      </c>
      <c r="E769" s="2" t="s">
        <v>2439</v>
      </c>
      <c r="F769" s="2" t="s">
        <v>24</v>
      </c>
      <c r="G769" s="8" t="s">
        <v>2440</v>
      </c>
      <c r="H769" s="2" t="s">
        <v>2441</v>
      </c>
      <c r="I769" s="1" t="s">
        <v>2442</v>
      </c>
      <c r="J769" s="1" t="s">
        <v>28</v>
      </c>
      <c r="K769" s="6" t="s">
        <v>40</v>
      </c>
      <c r="L769" s="1"/>
    </row>
    <row r="770" spans="1:12" ht="15.75" customHeight="1">
      <c r="A770" s="1" t="s">
        <v>2443</v>
      </c>
      <c r="B770" s="2" t="s">
        <v>2398</v>
      </c>
      <c r="C770" s="2" t="s">
        <v>2392</v>
      </c>
      <c r="D770" s="2" t="s">
        <v>44</v>
      </c>
      <c r="E770" s="2" t="s">
        <v>2399</v>
      </c>
      <c r="F770" s="2" t="s">
        <v>24</v>
      </c>
      <c r="G770" s="8" t="s">
        <v>2400</v>
      </c>
      <c r="H770" s="2" t="s">
        <v>2444</v>
      </c>
      <c r="I770" s="1" t="s">
        <v>2445</v>
      </c>
      <c r="J770" s="1" t="s">
        <v>50</v>
      </c>
      <c r="K770" s="6" t="s">
        <v>40</v>
      </c>
      <c r="L770" s="1"/>
    </row>
    <row r="771" spans="1:12" ht="15.75" customHeight="1">
      <c r="A771" s="1" t="s">
        <v>2446</v>
      </c>
      <c r="B771" s="2" t="s">
        <v>2398</v>
      </c>
      <c r="C771" s="2" t="s">
        <v>2392</v>
      </c>
      <c r="D771" s="2" t="s">
        <v>44</v>
      </c>
      <c r="E771" s="2" t="s">
        <v>2399</v>
      </c>
      <c r="F771" s="2" t="s">
        <v>24</v>
      </c>
      <c r="G771" s="8" t="s">
        <v>2400</v>
      </c>
      <c r="H771" s="2" t="s">
        <v>2447</v>
      </c>
      <c r="I771" s="1" t="s">
        <v>2448</v>
      </c>
      <c r="J771" s="1" t="s">
        <v>19</v>
      </c>
      <c r="K771" s="6" t="s">
        <v>40</v>
      </c>
      <c r="L771" s="1"/>
    </row>
    <row r="772" spans="1:12" ht="15.75" customHeight="1">
      <c r="A772" s="1" t="s">
        <v>2449</v>
      </c>
      <c r="B772" s="2" t="s">
        <v>2410</v>
      </c>
      <c r="C772" s="2" t="s">
        <v>2392</v>
      </c>
      <c r="D772" s="2" t="s">
        <v>44</v>
      </c>
      <c r="E772" s="2" t="s">
        <v>2411</v>
      </c>
      <c r="F772" s="2" t="s">
        <v>15</v>
      </c>
      <c r="G772" s="8" t="s">
        <v>2412</v>
      </c>
      <c r="H772" s="2" t="s">
        <v>2450</v>
      </c>
      <c r="I772" s="1" t="s">
        <v>2408</v>
      </c>
      <c r="J772" s="1" t="s">
        <v>50</v>
      </c>
      <c r="K772" s="6" t="s">
        <v>40</v>
      </c>
      <c r="L772" s="1"/>
    </row>
    <row r="773" spans="1:12" ht="15.75" customHeight="1">
      <c r="A773" s="1" t="s">
        <v>2451</v>
      </c>
      <c r="B773" s="2" t="s">
        <v>2404</v>
      </c>
      <c r="C773" s="2" t="s">
        <v>2392</v>
      </c>
      <c r="D773" s="2" t="s">
        <v>44</v>
      </c>
      <c r="E773" s="2" t="s">
        <v>2405</v>
      </c>
      <c r="F773" s="2" t="s">
        <v>264</v>
      </c>
      <c r="G773" s="8" t="s">
        <v>2406</v>
      </c>
      <c r="H773" s="2" t="s">
        <v>2452</v>
      </c>
      <c r="I773" s="1" t="s">
        <v>2453</v>
      </c>
      <c r="J773" s="1" t="s">
        <v>28</v>
      </c>
      <c r="K773" s="6" t="s">
        <v>40</v>
      </c>
      <c r="L773" s="1"/>
    </row>
    <row r="774" spans="1:12" ht="15.75" customHeight="1">
      <c r="A774" s="1" t="s">
        <v>2454</v>
      </c>
      <c r="B774" s="2" t="s">
        <v>2398</v>
      </c>
      <c r="C774" s="2" t="s">
        <v>2392</v>
      </c>
      <c r="D774" s="2" t="s">
        <v>44</v>
      </c>
      <c r="E774" s="2" t="s">
        <v>2399</v>
      </c>
      <c r="F774" s="2" t="s">
        <v>24</v>
      </c>
      <c r="G774" s="8" t="s">
        <v>2400</v>
      </c>
      <c r="H774" s="2" t="s">
        <v>2455</v>
      </c>
      <c r="I774" s="1" t="s">
        <v>2456</v>
      </c>
      <c r="J774" s="1" t="s">
        <v>50</v>
      </c>
      <c r="K774" s="6" t="s">
        <v>40</v>
      </c>
      <c r="L774" s="1"/>
    </row>
    <row r="775" spans="1:12" ht="15.75" customHeight="1">
      <c r="A775" s="1" t="s">
        <v>2457</v>
      </c>
      <c r="B775" s="2" t="s">
        <v>2416</v>
      </c>
      <c r="C775" s="2" t="s">
        <v>2392</v>
      </c>
      <c r="D775" s="2" t="s">
        <v>44</v>
      </c>
      <c r="E775" s="2" t="s">
        <v>2417</v>
      </c>
      <c r="F775" s="2" t="s">
        <v>140</v>
      </c>
      <c r="G775" s="8" t="s">
        <v>2418</v>
      </c>
      <c r="H775" s="2" t="s">
        <v>2458</v>
      </c>
      <c r="I775" s="1" t="s">
        <v>2420</v>
      </c>
      <c r="J775" s="1" t="s">
        <v>50</v>
      </c>
      <c r="K775" s="6" t="s">
        <v>40</v>
      </c>
      <c r="L775" s="1"/>
    </row>
    <row r="776" spans="1:12" ht="15.75" customHeight="1">
      <c r="A776" s="1" t="s">
        <v>2459</v>
      </c>
      <c r="B776" s="2" t="s">
        <v>2404</v>
      </c>
      <c r="C776" s="2" t="s">
        <v>2392</v>
      </c>
      <c r="D776" s="2" t="s">
        <v>44</v>
      </c>
      <c r="E776" s="2" t="s">
        <v>2405</v>
      </c>
      <c r="F776" s="2" t="s">
        <v>264</v>
      </c>
      <c r="G776" s="8" t="s">
        <v>2406</v>
      </c>
      <c r="H776" s="2" t="s">
        <v>2460</v>
      </c>
      <c r="I776" s="1" t="s">
        <v>2408</v>
      </c>
      <c r="J776" s="1" t="s">
        <v>50</v>
      </c>
      <c r="K776" s="6" t="s">
        <v>40</v>
      </c>
      <c r="L776" s="1"/>
    </row>
    <row r="777" spans="1:12" ht="15.75" customHeight="1">
      <c r="A777" s="1" t="s">
        <v>2461</v>
      </c>
      <c r="B777" s="2" t="s">
        <v>2462</v>
      </c>
      <c r="C777" s="2" t="s">
        <v>2392</v>
      </c>
      <c r="D777" s="2" t="s">
        <v>44</v>
      </c>
      <c r="E777" s="2" t="s">
        <v>2463</v>
      </c>
      <c r="F777" s="2" t="s">
        <v>180</v>
      </c>
      <c r="G777" s="8" t="s">
        <v>2464</v>
      </c>
      <c r="H777" s="2" t="s">
        <v>2465</v>
      </c>
      <c r="I777" s="1" t="s">
        <v>2466</v>
      </c>
      <c r="J777" s="1" t="s">
        <v>50</v>
      </c>
      <c r="K777" s="6" t="s">
        <v>40</v>
      </c>
      <c r="L777" s="1"/>
    </row>
    <row r="778" spans="1:12" ht="15.75" customHeight="1">
      <c r="A778" s="1" t="s">
        <v>2467</v>
      </c>
      <c r="B778" s="2" t="s">
        <v>2468</v>
      </c>
      <c r="C778" s="2" t="s">
        <v>2392</v>
      </c>
      <c r="D778" s="2" t="s">
        <v>44</v>
      </c>
      <c r="E778" s="2" t="s">
        <v>2469</v>
      </c>
      <c r="F778" s="2" t="s">
        <v>46</v>
      </c>
      <c r="G778" s="8" t="s">
        <v>2470</v>
      </c>
      <c r="H778" s="4" t="s">
        <v>2471</v>
      </c>
      <c r="I778" s="1" t="s">
        <v>2472</v>
      </c>
      <c r="J778" s="1" t="s">
        <v>50</v>
      </c>
      <c r="K778" s="6" t="s">
        <v>40</v>
      </c>
      <c r="L778" s="1"/>
    </row>
    <row r="779" spans="1:12" ht="15.75" customHeight="1">
      <c r="A779" s="1" t="s">
        <v>2473</v>
      </c>
      <c r="B779" s="2" t="s">
        <v>2474</v>
      </c>
      <c r="C779" s="2" t="s">
        <v>2392</v>
      </c>
      <c r="D779" s="2" t="s">
        <v>44</v>
      </c>
      <c r="E779" s="2" t="s">
        <v>2475</v>
      </c>
      <c r="F779" s="2" t="s">
        <v>126</v>
      </c>
      <c r="G779" s="8" t="s">
        <v>2476</v>
      </c>
      <c r="H779" s="2" t="s">
        <v>2477</v>
      </c>
      <c r="I779" s="1" t="s">
        <v>2478</v>
      </c>
      <c r="J779" s="1" t="s">
        <v>28</v>
      </c>
      <c r="K779" s="6" t="s">
        <v>40</v>
      </c>
      <c r="L779" s="1"/>
    </row>
    <row r="780" spans="1:12" ht="15.75" customHeight="1">
      <c r="A780" s="1" t="s">
        <v>2479</v>
      </c>
      <c r="B780" s="2" t="s">
        <v>2410</v>
      </c>
      <c r="C780" s="2" t="s">
        <v>2392</v>
      </c>
      <c r="D780" s="2" t="s">
        <v>44</v>
      </c>
      <c r="E780" s="2" t="s">
        <v>2411</v>
      </c>
      <c r="F780" s="2" t="s">
        <v>15</v>
      </c>
      <c r="G780" s="8" t="s">
        <v>2412</v>
      </c>
      <c r="H780" s="2" t="s">
        <v>2480</v>
      </c>
      <c r="I780" s="1" t="s">
        <v>2408</v>
      </c>
      <c r="J780" s="1" t="s">
        <v>50</v>
      </c>
      <c r="K780" s="6" t="s">
        <v>40</v>
      </c>
      <c r="L780" s="1"/>
    </row>
    <row r="781" spans="1:12" ht="15.75" customHeight="1">
      <c r="A781" s="1" t="s">
        <v>2481</v>
      </c>
      <c r="B781" s="2" t="s">
        <v>2416</v>
      </c>
      <c r="C781" s="2" t="s">
        <v>2392</v>
      </c>
      <c r="D781" s="2" t="s">
        <v>44</v>
      </c>
      <c r="E781" s="2" t="s">
        <v>2417</v>
      </c>
      <c r="F781" s="2" t="s">
        <v>140</v>
      </c>
      <c r="G781" s="8" t="s">
        <v>2418</v>
      </c>
      <c r="H781" s="2" t="s">
        <v>2482</v>
      </c>
      <c r="I781" s="1" t="s">
        <v>2483</v>
      </c>
      <c r="J781" s="1" t="s">
        <v>35</v>
      </c>
      <c r="K781" s="6" t="s">
        <v>40</v>
      </c>
      <c r="L781" s="1"/>
    </row>
    <row r="782" spans="1:12" ht="15.75" customHeight="1">
      <c r="A782" s="1" t="s">
        <v>2484</v>
      </c>
      <c r="B782" s="2" t="s">
        <v>2398</v>
      </c>
      <c r="C782" s="2" t="s">
        <v>2392</v>
      </c>
      <c r="D782" s="2" t="s">
        <v>44</v>
      </c>
      <c r="E782" s="2" t="s">
        <v>2399</v>
      </c>
      <c r="F782" s="2" t="s">
        <v>24</v>
      </c>
      <c r="G782" s="8" t="s">
        <v>2400</v>
      </c>
      <c r="H782" s="2" t="s">
        <v>2485</v>
      </c>
      <c r="I782" s="1" t="s">
        <v>2486</v>
      </c>
      <c r="J782" s="1" t="s">
        <v>50</v>
      </c>
      <c r="K782" s="6" t="s">
        <v>40</v>
      </c>
      <c r="L782" s="1"/>
    </row>
    <row r="783" spans="1:12" ht="15.75" customHeight="1">
      <c r="A783" s="1" t="s">
        <v>2487</v>
      </c>
      <c r="B783" s="2" t="s">
        <v>2488</v>
      </c>
      <c r="C783" s="2" t="s">
        <v>2392</v>
      </c>
      <c r="D783" s="2" t="s">
        <v>44</v>
      </c>
      <c r="E783" s="2" t="s">
        <v>2489</v>
      </c>
      <c r="F783" s="2" t="s">
        <v>46</v>
      </c>
      <c r="G783" s="8" t="s">
        <v>2490</v>
      </c>
      <c r="H783" s="2" t="s">
        <v>2491</v>
      </c>
      <c r="I783" s="1" t="s">
        <v>2492</v>
      </c>
      <c r="J783" s="1" t="s">
        <v>50</v>
      </c>
      <c r="K783" s="6" t="s">
        <v>40</v>
      </c>
      <c r="L783" s="1"/>
    </row>
    <row r="784" spans="1:12" ht="15.75" customHeight="1">
      <c r="A784" s="1" t="s">
        <v>2493</v>
      </c>
      <c r="B784" s="2" t="s">
        <v>2468</v>
      </c>
      <c r="C784" s="2" t="s">
        <v>2392</v>
      </c>
      <c r="D784" s="2" t="s">
        <v>44</v>
      </c>
      <c r="E784" s="2" t="s">
        <v>2469</v>
      </c>
      <c r="F784" s="2" t="s">
        <v>46</v>
      </c>
      <c r="G784" s="8" t="s">
        <v>2470</v>
      </c>
      <c r="H784" s="2" t="s">
        <v>2494</v>
      </c>
      <c r="I784" s="1" t="s">
        <v>2495</v>
      </c>
      <c r="J784" s="1" t="s">
        <v>50</v>
      </c>
      <c r="K784" s="6" t="s">
        <v>40</v>
      </c>
      <c r="L784" s="1"/>
    </row>
    <row r="785" spans="1:12" ht="15.75" customHeight="1">
      <c r="A785" s="1" t="s">
        <v>2496</v>
      </c>
      <c r="B785" s="2" t="s">
        <v>2497</v>
      </c>
      <c r="C785" s="2" t="s">
        <v>2392</v>
      </c>
      <c r="D785" s="2" t="s">
        <v>44</v>
      </c>
      <c r="E785" s="2" t="s">
        <v>2498</v>
      </c>
      <c r="F785" s="2" t="s">
        <v>120</v>
      </c>
      <c r="G785" s="8" t="s">
        <v>2499</v>
      </c>
      <c r="H785" s="2" t="s">
        <v>2500</v>
      </c>
      <c r="I785" s="1" t="s">
        <v>2501</v>
      </c>
      <c r="J785" s="1" t="s">
        <v>50</v>
      </c>
      <c r="K785" s="6" t="s">
        <v>40</v>
      </c>
      <c r="L785" s="1"/>
    </row>
    <row r="786" spans="1:12" ht="15.75" customHeight="1">
      <c r="A786" s="1" t="s">
        <v>2502</v>
      </c>
      <c r="B786" s="2" t="s">
        <v>2468</v>
      </c>
      <c r="C786" s="2" t="s">
        <v>2392</v>
      </c>
      <c r="D786" s="2" t="s">
        <v>44</v>
      </c>
      <c r="E786" s="2" t="s">
        <v>2469</v>
      </c>
      <c r="F786" s="2" t="s">
        <v>46</v>
      </c>
      <c r="G786" s="8" t="s">
        <v>2470</v>
      </c>
      <c r="H786" s="2" t="s">
        <v>2503</v>
      </c>
      <c r="I786" s="1" t="s">
        <v>2495</v>
      </c>
      <c r="J786" s="1" t="s">
        <v>50</v>
      </c>
      <c r="K786" s="6" t="s">
        <v>40</v>
      </c>
      <c r="L786" s="1"/>
    </row>
    <row r="787" spans="1:12" ht="15.75" customHeight="1">
      <c r="A787" s="1" t="s">
        <v>2504</v>
      </c>
      <c r="B787" s="2" t="s">
        <v>2416</v>
      </c>
      <c r="C787" s="2" t="s">
        <v>2392</v>
      </c>
      <c r="D787" s="2" t="s">
        <v>44</v>
      </c>
      <c r="E787" s="2" t="s">
        <v>2417</v>
      </c>
      <c r="F787" s="2" t="s">
        <v>140</v>
      </c>
      <c r="G787" s="8" t="s">
        <v>2418</v>
      </c>
      <c r="H787" s="2" t="s">
        <v>2505</v>
      </c>
      <c r="I787" s="1" t="s">
        <v>2420</v>
      </c>
      <c r="J787" s="1" t="s">
        <v>50</v>
      </c>
      <c r="K787" s="6" t="s">
        <v>40</v>
      </c>
      <c r="L787" s="1"/>
    </row>
    <row r="788" spans="1:12" ht="15.75" customHeight="1">
      <c r="A788" s="1" t="s">
        <v>2506</v>
      </c>
      <c r="B788" s="2" t="s">
        <v>2398</v>
      </c>
      <c r="C788" s="2" t="s">
        <v>2392</v>
      </c>
      <c r="D788" s="2" t="s">
        <v>44</v>
      </c>
      <c r="E788" s="2" t="s">
        <v>2399</v>
      </c>
      <c r="F788" s="2" t="s">
        <v>24</v>
      </c>
      <c r="G788" s="8" t="s">
        <v>2400</v>
      </c>
      <c r="H788" s="2" t="s">
        <v>2507</v>
      </c>
      <c r="I788" s="1" t="s">
        <v>2486</v>
      </c>
      <c r="J788" s="1" t="s">
        <v>50</v>
      </c>
      <c r="K788" s="6" t="s">
        <v>40</v>
      </c>
      <c r="L788" s="1"/>
    </row>
    <row r="789" spans="1:12" ht="15.75" customHeight="1">
      <c r="A789" s="1" t="s">
        <v>2508</v>
      </c>
      <c r="B789" s="2" t="s">
        <v>2430</v>
      </c>
      <c r="C789" s="2" t="s">
        <v>2392</v>
      </c>
      <c r="D789" s="2" t="s">
        <v>44</v>
      </c>
      <c r="E789" s="2" t="s">
        <v>2431</v>
      </c>
      <c r="F789" s="2" t="s">
        <v>157</v>
      </c>
      <c r="G789" s="8" t="s">
        <v>2432</v>
      </c>
      <c r="H789" s="2" t="s">
        <v>2509</v>
      </c>
      <c r="I789" s="1" t="s">
        <v>2510</v>
      </c>
      <c r="J789" s="1" t="s">
        <v>19</v>
      </c>
      <c r="K789" s="6" t="s">
        <v>40</v>
      </c>
      <c r="L789" s="1"/>
    </row>
    <row r="790" spans="1:12" ht="15.75" customHeight="1">
      <c r="A790" s="1" t="s">
        <v>2511</v>
      </c>
      <c r="B790" s="2" t="s">
        <v>2398</v>
      </c>
      <c r="C790" s="2" t="s">
        <v>2392</v>
      </c>
      <c r="D790" s="2" t="s">
        <v>44</v>
      </c>
      <c r="E790" s="2" t="s">
        <v>2399</v>
      </c>
      <c r="F790" s="2" t="s">
        <v>24</v>
      </c>
      <c r="G790" s="8" t="s">
        <v>2400</v>
      </c>
      <c r="H790" s="2" t="s">
        <v>2512</v>
      </c>
      <c r="I790" s="1" t="s">
        <v>2513</v>
      </c>
      <c r="J790" s="1" t="s">
        <v>28</v>
      </c>
      <c r="K790" s="6" t="s">
        <v>40</v>
      </c>
      <c r="L790" s="1"/>
    </row>
    <row r="791" spans="1:12" ht="15.75" customHeight="1">
      <c r="A791" s="1" t="s">
        <v>2514</v>
      </c>
      <c r="B791" s="2" t="s">
        <v>2398</v>
      </c>
      <c r="C791" s="2" t="s">
        <v>2392</v>
      </c>
      <c r="D791" s="2" t="s">
        <v>44</v>
      </c>
      <c r="E791" s="2" t="s">
        <v>2399</v>
      </c>
      <c r="F791" s="2" t="s">
        <v>24</v>
      </c>
      <c r="G791" s="8" t="s">
        <v>2400</v>
      </c>
      <c r="H791" s="2" t="s">
        <v>2515</v>
      </c>
      <c r="I791" s="1" t="s">
        <v>2445</v>
      </c>
      <c r="J791" s="1" t="s">
        <v>50</v>
      </c>
      <c r="K791" s="6" t="s">
        <v>40</v>
      </c>
      <c r="L791" s="1"/>
    </row>
    <row r="792" spans="1:12" ht="15.75" customHeight="1">
      <c r="A792" s="1" t="s">
        <v>2516</v>
      </c>
      <c r="B792" s="2" t="s">
        <v>2391</v>
      </c>
      <c r="C792" s="2" t="s">
        <v>2392</v>
      </c>
      <c r="D792" s="2" t="s">
        <v>44</v>
      </c>
      <c r="E792" s="2" t="s">
        <v>2393</v>
      </c>
      <c r="F792" s="2" t="s">
        <v>180</v>
      </c>
      <c r="G792" s="8" t="s">
        <v>2394</v>
      </c>
      <c r="H792" s="2" t="s">
        <v>2517</v>
      </c>
      <c r="I792" s="1" t="s">
        <v>2518</v>
      </c>
      <c r="J792" s="1" t="s">
        <v>19</v>
      </c>
      <c r="K792" s="6" t="s">
        <v>40</v>
      </c>
      <c r="L792" s="1"/>
    </row>
    <row r="793" spans="1:12" ht="15.75" customHeight="1">
      <c r="A793" s="1" t="s">
        <v>2519</v>
      </c>
      <c r="B793" s="2" t="s">
        <v>2410</v>
      </c>
      <c r="C793" s="2" t="s">
        <v>2392</v>
      </c>
      <c r="D793" s="2" t="s">
        <v>44</v>
      </c>
      <c r="E793" s="2" t="s">
        <v>2411</v>
      </c>
      <c r="F793" s="2" t="s">
        <v>15</v>
      </c>
      <c r="G793" s="8" t="s">
        <v>2412</v>
      </c>
      <c r="H793" s="2" t="s">
        <v>2520</v>
      </c>
      <c r="I793" s="1" t="s">
        <v>2521</v>
      </c>
      <c r="J793" s="1" t="s">
        <v>35</v>
      </c>
      <c r="K793" s="6" t="s">
        <v>40</v>
      </c>
      <c r="L793" s="1"/>
    </row>
    <row r="794" spans="1:12" ht="15.75" customHeight="1">
      <c r="A794" s="1" t="s">
        <v>2522</v>
      </c>
      <c r="B794" s="2" t="s">
        <v>2404</v>
      </c>
      <c r="C794" s="2" t="s">
        <v>2392</v>
      </c>
      <c r="D794" s="2" t="s">
        <v>44</v>
      </c>
      <c r="E794" s="2" t="s">
        <v>2405</v>
      </c>
      <c r="F794" s="2" t="s">
        <v>264</v>
      </c>
      <c r="G794" s="8" t="s">
        <v>2406</v>
      </c>
      <c r="H794" s="2" t="s">
        <v>2523</v>
      </c>
      <c r="I794" s="1" t="s">
        <v>2453</v>
      </c>
      <c r="J794" s="1" t="s">
        <v>28</v>
      </c>
      <c r="K794" s="6" t="s">
        <v>40</v>
      </c>
      <c r="L794" s="1"/>
    </row>
    <row r="795" spans="1:12" ht="15.75" customHeight="1">
      <c r="A795" s="1" t="s">
        <v>2524</v>
      </c>
      <c r="B795" s="2" t="s">
        <v>2525</v>
      </c>
      <c r="C795" s="2" t="s">
        <v>2392</v>
      </c>
      <c r="D795" s="2" t="s">
        <v>44</v>
      </c>
      <c r="E795" s="2" t="s">
        <v>2526</v>
      </c>
      <c r="F795" s="2" t="s">
        <v>264</v>
      </c>
      <c r="G795" s="8" t="s">
        <v>2527</v>
      </c>
      <c r="H795" s="2" t="s">
        <v>2528</v>
      </c>
      <c r="I795" s="1" t="s">
        <v>49</v>
      </c>
      <c r="J795" s="1" t="s">
        <v>50</v>
      </c>
      <c r="K795" s="6" t="s">
        <v>40</v>
      </c>
      <c r="L795" s="1"/>
    </row>
    <row r="796" spans="1:12" ht="15.75" customHeight="1">
      <c r="A796" s="1" t="s">
        <v>2529</v>
      </c>
      <c r="B796" s="2" t="s">
        <v>2530</v>
      </c>
      <c r="C796" s="2" t="s">
        <v>2392</v>
      </c>
      <c r="D796" s="2" t="s">
        <v>44</v>
      </c>
      <c r="E796" s="2" t="s">
        <v>2531</v>
      </c>
      <c r="F796" s="2" t="s">
        <v>46</v>
      </c>
      <c r="G796" s="8" t="s">
        <v>2532</v>
      </c>
      <c r="H796" s="2" t="s">
        <v>2533</v>
      </c>
      <c r="I796" s="1" t="s">
        <v>2408</v>
      </c>
      <c r="J796" s="1" t="s">
        <v>50</v>
      </c>
      <c r="K796" s="6" t="s">
        <v>40</v>
      </c>
      <c r="L796" s="1"/>
    </row>
    <row r="797" spans="1:12" ht="15.75" customHeight="1">
      <c r="A797" s="1" t="s">
        <v>2534</v>
      </c>
      <c r="B797" s="2" t="s">
        <v>2525</v>
      </c>
      <c r="C797" s="2" t="s">
        <v>2392</v>
      </c>
      <c r="D797" s="2" t="s">
        <v>44</v>
      </c>
      <c r="E797" s="2" t="s">
        <v>2526</v>
      </c>
      <c r="F797" s="2" t="s">
        <v>264</v>
      </c>
      <c r="G797" s="8" t="s">
        <v>2527</v>
      </c>
      <c r="H797" s="2" t="s">
        <v>2535</v>
      </c>
      <c r="I797" s="1" t="s">
        <v>49</v>
      </c>
      <c r="J797" s="1" t="s">
        <v>50</v>
      </c>
      <c r="K797" s="6" t="s">
        <v>40</v>
      </c>
      <c r="L797" s="1"/>
    </row>
    <row r="798" spans="1:12" ht="15.75" customHeight="1">
      <c r="A798" s="1" t="s">
        <v>2536</v>
      </c>
      <c r="B798" s="2" t="s">
        <v>2537</v>
      </c>
      <c r="C798" s="2" t="s">
        <v>2538</v>
      </c>
      <c r="D798" s="2" t="s">
        <v>342</v>
      </c>
      <c r="E798" s="2" t="s">
        <v>2539</v>
      </c>
      <c r="F798" s="2" t="s">
        <v>180</v>
      </c>
      <c r="G798" s="8" t="s">
        <v>2540</v>
      </c>
      <c r="H798" s="2" t="s">
        <v>2541</v>
      </c>
      <c r="I798" s="1" t="s">
        <v>2542</v>
      </c>
      <c r="J798" s="1" t="s">
        <v>35</v>
      </c>
      <c r="K798" s="6" t="s">
        <v>40</v>
      </c>
      <c r="L798" s="1"/>
    </row>
    <row r="799" spans="1:12" ht="15.75" customHeight="1">
      <c r="A799" s="1" t="s">
        <v>2543</v>
      </c>
      <c r="B799" s="2" t="s">
        <v>2544</v>
      </c>
      <c r="C799" s="2" t="s">
        <v>2538</v>
      </c>
      <c r="D799" s="2" t="s">
        <v>342</v>
      </c>
      <c r="E799" s="2" t="s">
        <v>2545</v>
      </c>
      <c r="F799" s="2" t="s">
        <v>15</v>
      </c>
      <c r="G799" s="8" t="s">
        <v>2546</v>
      </c>
      <c r="H799" s="2" t="s">
        <v>2547</v>
      </c>
      <c r="I799" s="1" t="s">
        <v>18</v>
      </c>
      <c r="J799" s="1" t="s">
        <v>19</v>
      </c>
      <c r="K799" s="6" t="s">
        <v>144</v>
      </c>
      <c r="L799" s="1" t="s">
        <v>504</v>
      </c>
    </row>
    <row r="800" spans="1:12" ht="15.75" customHeight="1">
      <c r="A800" s="1" t="s">
        <v>2548</v>
      </c>
      <c r="B800" s="2" t="s">
        <v>2549</v>
      </c>
      <c r="C800" s="2" t="s">
        <v>2538</v>
      </c>
      <c r="D800" s="2" t="s">
        <v>342</v>
      </c>
      <c r="E800" s="2" t="s">
        <v>2550</v>
      </c>
      <c r="F800" s="2" t="s">
        <v>180</v>
      </c>
      <c r="G800" s="8" t="s">
        <v>2551</v>
      </c>
      <c r="H800" s="2" t="s">
        <v>2552</v>
      </c>
      <c r="I800" s="1" t="s">
        <v>160</v>
      </c>
      <c r="J800" s="1" t="s">
        <v>78</v>
      </c>
      <c r="K800" s="6" t="s">
        <v>40</v>
      </c>
      <c r="L800" s="1"/>
    </row>
    <row r="801" spans="1:12" ht="15.75" customHeight="1">
      <c r="A801" s="1" t="s">
        <v>2553</v>
      </c>
      <c r="B801" s="2" t="s">
        <v>2537</v>
      </c>
      <c r="C801" s="2" t="s">
        <v>2538</v>
      </c>
      <c r="D801" s="2" t="s">
        <v>342</v>
      </c>
      <c r="E801" s="2" t="s">
        <v>2539</v>
      </c>
      <c r="F801" s="2" t="s">
        <v>180</v>
      </c>
      <c r="G801" s="8" t="s">
        <v>2540</v>
      </c>
      <c r="H801" s="2" t="s">
        <v>2554</v>
      </c>
      <c r="I801" s="1" t="s">
        <v>2542</v>
      </c>
      <c r="J801" s="1" t="s">
        <v>35</v>
      </c>
      <c r="K801" s="6" t="s">
        <v>40</v>
      </c>
      <c r="L801" s="1"/>
    </row>
    <row r="802" spans="1:12" ht="15.75" customHeight="1">
      <c r="A802" s="1" t="s">
        <v>2555</v>
      </c>
      <c r="B802" s="2" t="s">
        <v>2537</v>
      </c>
      <c r="C802" s="2" t="s">
        <v>2538</v>
      </c>
      <c r="D802" s="2" t="s">
        <v>342</v>
      </c>
      <c r="E802" s="2" t="s">
        <v>2539</v>
      </c>
      <c r="F802" s="2" t="s">
        <v>180</v>
      </c>
      <c r="G802" s="8" t="s">
        <v>2540</v>
      </c>
      <c r="H802" s="2" t="s">
        <v>2556</v>
      </c>
      <c r="I802" s="1" t="s">
        <v>2542</v>
      </c>
      <c r="J802" s="1" t="s">
        <v>35</v>
      </c>
      <c r="K802" s="6" t="s">
        <v>40</v>
      </c>
      <c r="L802" s="1"/>
    </row>
    <row r="803" spans="1:12" ht="15.75" customHeight="1">
      <c r="A803" s="1" t="s">
        <v>2557</v>
      </c>
      <c r="B803" s="2" t="s">
        <v>2558</v>
      </c>
      <c r="C803" s="2" t="s">
        <v>2538</v>
      </c>
      <c r="D803" s="2" t="s">
        <v>342</v>
      </c>
      <c r="E803" s="2" t="s">
        <v>2559</v>
      </c>
      <c r="F803" s="2" t="s">
        <v>180</v>
      </c>
      <c r="G803" s="8" t="s">
        <v>2560</v>
      </c>
      <c r="H803" s="2" t="s">
        <v>2561</v>
      </c>
      <c r="I803" s="1" t="s">
        <v>34</v>
      </c>
      <c r="J803" s="1" t="s">
        <v>35</v>
      </c>
      <c r="K803" s="6" t="s">
        <v>40</v>
      </c>
      <c r="L803" s="1"/>
    </row>
    <row r="804" spans="1:12" ht="15.75" customHeight="1">
      <c r="A804" s="1" t="s">
        <v>2562</v>
      </c>
      <c r="B804" s="2" t="s">
        <v>2563</v>
      </c>
      <c r="C804" s="2" t="s">
        <v>2538</v>
      </c>
      <c r="D804" s="2" t="s">
        <v>342</v>
      </c>
      <c r="E804" s="2" t="s">
        <v>1543</v>
      </c>
      <c r="F804" s="2" t="s">
        <v>180</v>
      </c>
      <c r="G804" s="8" t="s">
        <v>2564</v>
      </c>
      <c r="H804" s="2" t="s">
        <v>2565</v>
      </c>
      <c r="I804" s="1" t="s">
        <v>34</v>
      </c>
      <c r="J804" s="1" t="s">
        <v>35</v>
      </c>
      <c r="K804" s="6" t="s">
        <v>40</v>
      </c>
      <c r="L804" s="1"/>
    </row>
    <row r="805" spans="1:12" ht="15.75" customHeight="1">
      <c r="A805" s="1" t="s">
        <v>2566</v>
      </c>
      <c r="B805" s="2" t="s">
        <v>2567</v>
      </c>
      <c r="C805" s="2" t="s">
        <v>2538</v>
      </c>
      <c r="D805" s="2" t="s">
        <v>342</v>
      </c>
      <c r="E805" s="2" t="s">
        <v>2568</v>
      </c>
      <c r="F805" s="2" t="s">
        <v>126</v>
      </c>
      <c r="G805" s="8" t="s">
        <v>2569</v>
      </c>
      <c r="H805" s="2" t="s">
        <v>2570</v>
      </c>
      <c r="I805" s="1" t="s">
        <v>34</v>
      </c>
      <c r="J805" s="1" t="s">
        <v>35</v>
      </c>
      <c r="K805" s="6" t="s">
        <v>40</v>
      </c>
      <c r="L805" s="1"/>
    </row>
    <row r="806" spans="1:12" ht="15.75" customHeight="1">
      <c r="A806" s="1" t="s">
        <v>2571</v>
      </c>
      <c r="B806" s="2" t="s">
        <v>2572</v>
      </c>
      <c r="C806" s="2" t="s">
        <v>2538</v>
      </c>
      <c r="D806" s="2" t="s">
        <v>342</v>
      </c>
      <c r="E806" s="2" t="s">
        <v>2573</v>
      </c>
      <c r="F806" s="2" t="s">
        <v>61</v>
      </c>
      <c r="G806" s="8" t="s">
        <v>2574</v>
      </c>
      <c r="H806" s="2" t="s">
        <v>2575</v>
      </c>
      <c r="I806" s="1" t="s">
        <v>18</v>
      </c>
      <c r="J806" s="1" t="s">
        <v>19</v>
      </c>
      <c r="K806" s="6" t="s">
        <v>40</v>
      </c>
      <c r="L806" s="1"/>
    </row>
    <row r="807" spans="1:12" ht="15.75" customHeight="1">
      <c r="A807" s="1" t="s">
        <v>2576</v>
      </c>
      <c r="B807" s="2" t="s">
        <v>2577</v>
      </c>
      <c r="C807" s="2" t="s">
        <v>2538</v>
      </c>
      <c r="D807" s="2" t="s">
        <v>342</v>
      </c>
      <c r="E807" s="2" t="s">
        <v>2578</v>
      </c>
      <c r="F807" s="2" t="s">
        <v>61</v>
      </c>
      <c r="G807" s="8" t="s">
        <v>2579</v>
      </c>
      <c r="H807" s="2" t="s">
        <v>2580</v>
      </c>
      <c r="I807" s="1" t="s">
        <v>18</v>
      </c>
      <c r="J807" s="1" t="s">
        <v>19</v>
      </c>
      <c r="K807" s="6" t="s">
        <v>40</v>
      </c>
      <c r="L807" s="1"/>
    </row>
    <row r="808" spans="1:12" ht="15.75" customHeight="1">
      <c r="A808" s="1" t="s">
        <v>2581</v>
      </c>
      <c r="B808" s="2" t="s">
        <v>2582</v>
      </c>
      <c r="C808" s="2" t="s">
        <v>2538</v>
      </c>
      <c r="D808" s="2" t="s">
        <v>342</v>
      </c>
      <c r="E808" s="2" t="s">
        <v>2583</v>
      </c>
      <c r="F808" s="2" t="s">
        <v>126</v>
      </c>
      <c r="G808" s="8" t="s">
        <v>2584</v>
      </c>
      <c r="H808" s="2" t="s">
        <v>2585</v>
      </c>
      <c r="I808" s="1" t="s">
        <v>160</v>
      </c>
      <c r="J808" s="1" t="s">
        <v>78</v>
      </c>
      <c r="K808" s="6" t="s">
        <v>40</v>
      </c>
      <c r="L808" s="1"/>
    </row>
    <row r="809" spans="1:12" ht="15.75" customHeight="1">
      <c r="A809" s="1" t="s">
        <v>2586</v>
      </c>
      <c r="B809" s="2" t="s">
        <v>2582</v>
      </c>
      <c r="C809" s="2" t="s">
        <v>2538</v>
      </c>
      <c r="D809" s="2" t="s">
        <v>342</v>
      </c>
      <c r="E809" s="2" t="s">
        <v>2583</v>
      </c>
      <c r="F809" s="2" t="s">
        <v>126</v>
      </c>
      <c r="G809" s="8" t="s">
        <v>2584</v>
      </c>
      <c r="H809" s="2" t="s">
        <v>2587</v>
      </c>
      <c r="I809" s="1" t="s">
        <v>34</v>
      </c>
      <c r="J809" s="1" t="s">
        <v>35</v>
      </c>
      <c r="K809" s="6" t="s">
        <v>40</v>
      </c>
      <c r="L809" s="1"/>
    </row>
    <row r="810" spans="1:12" ht="15.75" customHeight="1">
      <c r="A810" s="1" t="s">
        <v>2588</v>
      </c>
      <c r="B810" s="2" t="s">
        <v>2589</v>
      </c>
      <c r="C810" s="2" t="s">
        <v>2538</v>
      </c>
      <c r="D810" s="2" t="s">
        <v>342</v>
      </c>
      <c r="E810" s="2" t="s">
        <v>2590</v>
      </c>
      <c r="F810" s="2" t="s">
        <v>61</v>
      </c>
      <c r="G810" s="8" t="s">
        <v>2591</v>
      </c>
      <c r="H810" s="2" t="s">
        <v>2592</v>
      </c>
      <c r="I810" s="1" t="s">
        <v>18</v>
      </c>
      <c r="J810" s="1" t="s">
        <v>19</v>
      </c>
      <c r="K810" s="6" t="s">
        <v>40</v>
      </c>
      <c r="L810" s="1"/>
    </row>
    <row r="811" spans="1:12" ht="15.75" customHeight="1">
      <c r="A811" s="1" t="s">
        <v>2593</v>
      </c>
      <c r="B811" s="2" t="s">
        <v>2594</v>
      </c>
      <c r="C811" s="2" t="s">
        <v>2538</v>
      </c>
      <c r="D811" s="2" t="s">
        <v>342</v>
      </c>
      <c r="E811" s="2" t="s">
        <v>2595</v>
      </c>
      <c r="F811" s="2" t="s">
        <v>140</v>
      </c>
      <c r="G811" s="8" t="s">
        <v>2596</v>
      </c>
      <c r="H811" s="2" t="s">
        <v>2597</v>
      </c>
      <c r="I811" s="1" t="s">
        <v>18</v>
      </c>
      <c r="J811" s="1" t="s">
        <v>19</v>
      </c>
      <c r="K811" s="6" t="s">
        <v>40</v>
      </c>
      <c r="L811" s="1"/>
    </row>
    <row r="812" spans="1:12" ht="15.75" customHeight="1">
      <c r="A812" s="1" t="s">
        <v>2598</v>
      </c>
      <c r="B812" s="2" t="s">
        <v>2599</v>
      </c>
      <c r="C812" s="2" t="s">
        <v>2538</v>
      </c>
      <c r="D812" s="2" t="s">
        <v>342</v>
      </c>
      <c r="E812" s="2" t="s">
        <v>2600</v>
      </c>
      <c r="F812" s="2" t="s">
        <v>126</v>
      </c>
      <c r="G812" s="8" t="s">
        <v>2601</v>
      </c>
      <c r="H812" s="2" t="s">
        <v>2602</v>
      </c>
      <c r="I812" s="1" t="s">
        <v>18</v>
      </c>
      <c r="J812" s="1" t="s">
        <v>19</v>
      </c>
      <c r="K812" s="6" t="s">
        <v>40</v>
      </c>
      <c r="L812" s="1"/>
    </row>
    <row r="813" spans="1:12" ht="15.75" customHeight="1">
      <c r="A813" s="1" t="s">
        <v>2603</v>
      </c>
      <c r="B813" s="2" t="s">
        <v>2604</v>
      </c>
      <c r="C813" s="2" t="s">
        <v>2538</v>
      </c>
      <c r="D813" s="2" t="s">
        <v>342</v>
      </c>
      <c r="E813" s="2" t="s">
        <v>2605</v>
      </c>
      <c r="F813" s="2" t="s">
        <v>180</v>
      </c>
      <c r="G813" s="8" t="s">
        <v>2606</v>
      </c>
      <c r="H813" s="2" t="s">
        <v>2607</v>
      </c>
      <c r="I813" s="1" t="s">
        <v>34</v>
      </c>
      <c r="J813" s="1" t="s">
        <v>35</v>
      </c>
      <c r="K813" s="6" t="s">
        <v>40</v>
      </c>
      <c r="L813" s="1"/>
    </row>
    <row r="814" spans="1:12" ht="15.75" customHeight="1">
      <c r="A814" s="1" t="s">
        <v>2608</v>
      </c>
      <c r="B814" s="2" t="s">
        <v>2604</v>
      </c>
      <c r="C814" s="2" t="s">
        <v>2538</v>
      </c>
      <c r="D814" s="2" t="s">
        <v>342</v>
      </c>
      <c r="E814" s="2" t="s">
        <v>2605</v>
      </c>
      <c r="F814" s="2" t="s">
        <v>180</v>
      </c>
      <c r="G814" s="8" t="s">
        <v>2606</v>
      </c>
      <c r="H814" s="2" t="s">
        <v>2609</v>
      </c>
      <c r="I814" s="1" t="s">
        <v>34</v>
      </c>
      <c r="J814" s="1" t="s">
        <v>35</v>
      </c>
      <c r="K814" s="6" t="s">
        <v>40</v>
      </c>
      <c r="L814" s="1"/>
    </row>
    <row r="815" spans="1:12" ht="15.75" customHeight="1">
      <c r="A815" s="1" t="s">
        <v>2610</v>
      </c>
      <c r="B815" s="2" t="s">
        <v>2611</v>
      </c>
      <c r="C815" s="2" t="s">
        <v>2538</v>
      </c>
      <c r="D815" s="2" t="s">
        <v>342</v>
      </c>
      <c r="E815" s="2" t="s">
        <v>2612</v>
      </c>
      <c r="F815" s="2" t="s">
        <v>126</v>
      </c>
      <c r="G815" s="8" t="s">
        <v>2613</v>
      </c>
      <c r="H815" s="2" t="s">
        <v>2614</v>
      </c>
      <c r="I815" s="1" t="s">
        <v>351</v>
      </c>
      <c r="J815" s="1" t="s">
        <v>28</v>
      </c>
      <c r="K815" s="6" t="s">
        <v>40</v>
      </c>
      <c r="L815" s="1"/>
    </row>
    <row r="816" spans="1:12" ht="15.75" customHeight="1">
      <c r="A816" s="1" t="s">
        <v>2615</v>
      </c>
      <c r="B816" s="2" t="s">
        <v>2616</v>
      </c>
      <c r="C816" s="2" t="s">
        <v>2538</v>
      </c>
      <c r="D816" s="2" t="s">
        <v>342</v>
      </c>
      <c r="E816" s="2" t="s">
        <v>2617</v>
      </c>
      <c r="F816" s="2" t="s">
        <v>180</v>
      </c>
      <c r="G816" s="8" t="s">
        <v>2618</v>
      </c>
      <c r="H816" s="2" t="s">
        <v>2619</v>
      </c>
      <c r="I816" s="1" t="s">
        <v>34</v>
      </c>
      <c r="J816" s="1" t="s">
        <v>35</v>
      </c>
      <c r="K816" s="6" t="s">
        <v>40</v>
      </c>
      <c r="L816" s="1"/>
    </row>
    <row r="817" spans="1:12" ht="15.75" customHeight="1">
      <c r="A817" s="1" t="s">
        <v>2620</v>
      </c>
      <c r="B817" s="2" t="s">
        <v>2589</v>
      </c>
      <c r="C817" s="2" t="s">
        <v>2538</v>
      </c>
      <c r="D817" s="2" t="s">
        <v>342</v>
      </c>
      <c r="E817" s="2" t="s">
        <v>2590</v>
      </c>
      <c r="F817" s="2" t="s">
        <v>61</v>
      </c>
      <c r="G817" s="8" t="s">
        <v>2591</v>
      </c>
      <c r="H817" s="2" t="s">
        <v>2621</v>
      </c>
      <c r="I817" s="1" t="s">
        <v>18</v>
      </c>
      <c r="J817" s="1" t="s">
        <v>19</v>
      </c>
      <c r="K817" s="6" t="s">
        <v>40</v>
      </c>
      <c r="L817" s="1"/>
    </row>
    <row r="818" spans="1:12" ht="15.75" customHeight="1">
      <c r="A818" s="1" t="s">
        <v>2622</v>
      </c>
      <c r="B818" s="2" t="s">
        <v>2572</v>
      </c>
      <c r="C818" s="2" t="s">
        <v>2538</v>
      </c>
      <c r="D818" s="2" t="s">
        <v>342</v>
      </c>
      <c r="E818" s="2" t="s">
        <v>2573</v>
      </c>
      <c r="F818" s="2" t="s">
        <v>61</v>
      </c>
      <c r="G818" s="8" t="s">
        <v>2574</v>
      </c>
      <c r="H818" s="2" t="s">
        <v>2623</v>
      </c>
      <c r="I818" s="1" t="s">
        <v>18</v>
      </c>
      <c r="J818" s="1" t="s">
        <v>19</v>
      </c>
      <c r="K818" s="6" t="s">
        <v>40</v>
      </c>
      <c r="L818" s="1"/>
    </row>
    <row r="819" spans="1:12" ht="15.75" customHeight="1">
      <c r="A819" s="1" t="s">
        <v>2624</v>
      </c>
      <c r="B819" s="2" t="s">
        <v>2625</v>
      </c>
      <c r="C819" s="2" t="s">
        <v>2538</v>
      </c>
      <c r="D819" s="2" t="s">
        <v>342</v>
      </c>
      <c r="E819" s="2" t="s">
        <v>2626</v>
      </c>
      <c r="F819" s="2" t="s">
        <v>180</v>
      </c>
      <c r="G819" s="8" t="s">
        <v>2627</v>
      </c>
      <c r="H819" s="2" t="s">
        <v>2628</v>
      </c>
      <c r="I819" s="1" t="s">
        <v>34</v>
      </c>
      <c r="J819" s="1" t="s">
        <v>35</v>
      </c>
      <c r="K819" s="6" t="s">
        <v>40</v>
      </c>
      <c r="L819" s="1"/>
    </row>
    <row r="820" spans="1:12" ht="15.75" customHeight="1">
      <c r="A820" s="1" t="s">
        <v>2629</v>
      </c>
      <c r="B820" s="2" t="s">
        <v>2577</v>
      </c>
      <c r="C820" s="2" t="s">
        <v>2538</v>
      </c>
      <c r="D820" s="2" t="s">
        <v>342</v>
      </c>
      <c r="E820" s="2" t="s">
        <v>2578</v>
      </c>
      <c r="F820" s="2" t="s">
        <v>61</v>
      </c>
      <c r="G820" s="8" t="s">
        <v>2579</v>
      </c>
      <c r="H820" s="2" t="s">
        <v>2630</v>
      </c>
      <c r="I820" s="1" t="s">
        <v>34</v>
      </c>
      <c r="J820" s="1" t="s">
        <v>35</v>
      </c>
      <c r="K820" s="6" t="s">
        <v>40</v>
      </c>
      <c r="L820" s="1"/>
    </row>
    <row r="821" spans="1:12" ht="15.75" customHeight="1">
      <c r="A821" s="1" t="s">
        <v>2631</v>
      </c>
      <c r="B821" s="2" t="s">
        <v>2632</v>
      </c>
      <c r="C821" s="2" t="s">
        <v>2538</v>
      </c>
      <c r="D821" s="2" t="s">
        <v>342</v>
      </c>
      <c r="E821" s="2" t="s">
        <v>2633</v>
      </c>
      <c r="F821" s="2" t="s">
        <v>24</v>
      </c>
      <c r="G821" s="8" t="s">
        <v>2634</v>
      </c>
      <c r="H821" s="2" t="s">
        <v>2635</v>
      </c>
      <c r="I821" s="1" t="s">
        <v>34</v>
      </c>
      <c r="J821" s="1" t="s">
        <v>35</v>
      </c>
      <c r="K821" s="6" t="s">
        <v>40</v>
      </c>
      <c r="L821" s="1"/>
    </row>
    <row r="822" spans="1:12" ht="15.75" customHeight="1">
      <c r="A822" s="1" t="s">
        <v>2636</v>
      </c>
      <c r="B822" s="2" t="s">
        <v>2589</v>
      </c>
      <c r="C822" s="2" t="s">
        <v>2538</v>
      </c>
      <c r="D822" s="2" t="s">
        <v>342</v>
      </c>
      <c r="E822" s="2" t="s">
        <v>2590</v>
      </c>
      <c r="F822" s="2" t="s">
        <v>61</v>
      </c>
      <c r="G822" s="8" t="s">
        <v>2591</v>
      </c>
      <c r="H822" s="2" t="s">
        <v>2637</v>
      </c>
      <c r="I822" s="1" t="s">
        <v>18</v>
      </c>
      <c r="J822" s="1" t="s">
        <v>19</v>
      </c>
      <c r="K822" s="6" t="s">
        <v>40</v>
      </c>
      <c r="L822" s="1"/>
    </row>
    <row r="823" spans="1:12" ht="15.75" customHeight="1">
      <c r="A823" s="1" t="s">
        <v>2638</v>
      </c>
      <c r="B823" s="2" t="s">
        <v>2639</v>
      </c>
      <c r="C823" s="2" t="s">
        <v>2538</v>
      </c>
      <c r="D823" s="2" t="s">
        <v>342</v>
      </c>
      <c r="E823" s="2" t="s">
        <v>2640</v>
      </c>
      <c r="F823" s="2" t="s">
        <v>180</v>
      </c>
      <c r="G823" s="8" t="s">
        <v>2641</v>
      </c>
      <c r="H823" s="2" t="s">
        <v>2642</v>
      </c>
      <c r="I823" s="1" t="s">
        <v>34</v>
      </c>
      <c r="J823" s="1" t="s">
        <v>35</v>
      </c>
      <c r="K823" s="6" t="s">
        <v>40</v>
      </c>
      <c r="L823" s="1"/>
    </row>
    <row r="824" spans="1:12" ht="15.75" customHeight="1">
      <c r="A824" s="1" t="s">
        <v>2643</v>
      </c>
      <c r="B824" s="2" t="s">
        <v>2577</v>
      </c>
      <c r="C824" s="2" t="s">
        <v>2538</v>
      </c>
      <c r="D824" s="2" t="s">
        <v>342</v>
      </c>
      <c r="E824" s="2" t="s">
        <v>2578</v>
      </c>
      <c r="F824" s="2" t="s">
        <v>61</v>
      </c>
      <c r="G824" s="8" t="s">
        <v>2579</v>
      </c>
      <c r="H824" s="2" t="s">
        <v>2644</v>
      </c>
      <c r="I824" s="1" t="s">
        <v>18</v>
      </c>
      <c r="J824" s="1" t="s">
        <v>19</v>
      </c>
      <c r="K824" s="6" t="s">
        <v>40</v>
      </c>
      <c r="L824" s="1"/>
    </row>
    <row r="825" spans="1:12" ht="15.75" customHeight="1">
      <c r="A825" s="1" t="s">
        <v>2645</v>
      </c>
      <c r="B825" s="2" t="s">
        <v>2646</v>
      </c>
      <c r="C825" s="2" t="s">
        <v>2538</v>
      </c>
      <c r="D825" s="2" t="s">
        <v>342</v>
      </c>
      <c r="E825" s="2" t="s">
        <v>2647</v>
      </c>
      <c r="F825" s="2" t="s">
        <v>180</v>
      </c>
      <c r="G825" s="8" t="s">
        <v>2648</v>
      </c>
      <c r="H825" s="2" t="s">
        <v>2649</v>
      </c>
      <c r="I825" s="1" t="s">
        <v>34</v>
      </c>
      <c r="J825" s="1" t="s">
        <v>35</v>
      </c>
      <c r="K825" s="6" t="s">
        <v>40</v>
      </c>
      <c r="L825" s="1"/>
    </row>
    <row r="826" spans="1:12" ht="15.75" customHeight="1">
      <c r="A826" s="1" t="s">
        <v>2650</v>
      </c>
      <c r="B826" s="2" t="s">
        <v>2544</v>
      </c>
      <c r="C826" s="2" t="s">
        <v>2538</v>
      </c>
      <c r="D826" s="2" t="s">
        <v>342</v>
      </c>
      <c r="E826" s="2" t="s">
        <v>2545</v>
      </c>
      <c r="F826" s="2" t="s">
        <v>15</v>
      </c>
      <c r="G826" s="8" t="s">
        <v>2546</v>
      </c>
      <c r="H826" s="2" t="s">
        <v>2651</v>
      </c>
      <c r="I826" s="1" t="s">
        <v>34</v>
      </c>
      <c r="J826" s="1" t="s">
        <v>35</v>
      </c>
      <c r="K826" s="6" t="s">
        <v>40</v>
      </c>
      <c r="L826" s="1"/>
    </row>
    <row r="827" spans="1:12" ht="15.75" customHeight="1">
      <c r="A827" s="1" t="s">
        <v>2652</v>
      </c>
      <c r="B827" s="2" t="s">
        <v>2558</v>
      </c>
      <c r="C827" s="2" t="s">
        <v>2538</v>
      </c>
      <c r="D827" s="2" t="s">
        <v>342</v>
      </c>
      <c r="E827" s="2" t="s">
        <v>2559</v>
      </c>
      <c r="F827" s="2" t="s">
        <v>180</v>
      </c>
      <c r="G827" s="8" t="s">
        <v>2560</v>
      </c>
      <c r="H827" s="2" t="s">
        <v>2653</v>
      </c>
      <c r="I827" s="1" t="s">
        <v>34</v>
      </c>
      <c r="J827" s="1" t="s">
        <v>35</v>
      </c>
      <c r="K827" s="6" t="s">
        <v>40</v>
      </c>
      <c r="L827" s="1"/>
    </row>
    <row r="828" spans="1:12" ht="15.75" customHeight="1">
      <c r="A828" s="1" t="s">
        <v>2654</v>
      </c>
      <c r="B828" s="2" t="s">
        <v>2549</v>
      </c>
      <c r="C828" s="2" t="s">
        <v>2538</v>
      </c>
      <c r="D828" s="2" t="s">
        <v>342</v>
      </c>
      <c r="E828" s="2" t="s">
        <v>2550</v>
      </c>
      <c r="F828" s="2" t="s">
        <v>180</v>
      </c>
      <c r="G828" s="8" t="s">
        <v>2551</v>
      </c>
      <c r="H828" s="2" t="s">
        <v>2655</v>
      </c>
      <c r="I828" s="1" t="s">
        <v>18</v>
      </c>
      <c r="J828" s="1" t="s">
        <v>19</v>
      </c>
      <c r="K828" s="6" t="s">
        <v>40</v>
      </c>
      <c r="L828" s="1"/>
    </row>
    <row r="829" spans="1:12" ht="15.75" customHeight="1">
      <c r="A829" s="1" t="s">
        <v>2656</v>
      </c>
      <c r="B829" s="2" t="s">
        <v>2616</v>
      </c>
      <c r="C829" s="2" t="s">
        <v>2538</v>
      </c>
      <c r="D829" s="2" t="s">
        <v>342</v>
      </c>
      <c r="E829" s="2" t="s">
        <v>2617</v>
      </c>
      <c r="F829" s="2" t="s">
        <v>180</v>
      </c>
      <c r="G829" s="8" t="s">
        <v>2618</v>
      </c>
      <c r="H829" s="2" t="s">
        <v>2657</v>
      </c>
      <c r="I829" s="1" t="s">
        <v>34</v>
      </c>
      <c r="J829" s="1" t="s">
        <v>35</v>
      </c>
      <c r="K829" s="6" t="s">
        <v>40</v>
      </c>
      <c r="L829" s="1"/>
    </row>
    <row r="830" spans="1:12" ht="15.75" customHeight="1">
      <c r="A830" s="1" t="s">
        <v>2658</v>
      </c>
      <c r="B830" s="2" t="s">
        <v>2599</v>
      </c>
      <c r="C830" s="2" t="s">
        <v>2538</v>
      </c>
      <c r="D830" s="2" t="s">
        <v>342</v>
      </c>
      <c r="E830" s="2" t="s">
        <v>2600</v>
      </c>
      <c r="F830" s="2" t="s">
        <v>126</v>
      </c>
      <c r="G830" s="8" t="s">
        <v>2601</v>
      </c>
      <c r="H830" s="2" t="s">
        <v>2659</v>
      </c>
      <c r="I830" s="1" t="s">
        <v>34</v>
      </c>
      <c r="J830" s="1" t="s">
        <v>35</v>
      </c>
      <c r="K830" s="6" t="s">
        <v>40</v>
      </c>
      <c r="L830" s="1"/>
    </row>
    <row r="831" spans="1:12" ht="15.75" customHeight="1">
      <c r="A831" s="1" t="s">
        <v>2660</v>
      </c>
      <c r="B831" s="2" t="s">
        <v>2661</v>
      </c>
      <c r="C831" s="2" t="s">
        <v>2662</v>
      </c>
      <c r="D831" s="2" t="s">
        <v>1080</v>
      </c>
      <c r="E831" s="2" t="s">
        <v>2663</v>
      </c>
      <c r="F831" s="2" t="s">
        <v>24</v>
      </c>
      <c r="G831" s="8" t="s">
        <v>2664</v>
      </c>
      <c r="H831" s="4" t="s">
        <v>2665</v>
      </c>
      <c r="I831" s="1" t="s">
        <v>83</v>
      </c>
      <c r="J831" s="1" t="s">
        <v>35</v>
      </c>
      <c r="K831" s="6" t="s">
        <v>40</v>
      </c>
      <c r="L831" s="1"/>
    </row>
    <row r="832" spans="1:12" ht="15.75" customHeight="1">
      <c r="A832" s="1" t="s">
        <v>2666</v>
      </c>
      <c r="B832" s="2" t="s">
        <v>2667</v>
      </c>
      <c r="C832" s="2" t="s">
        <v>2662</v>
      </c>
      <c r="D832" s="2" t="s">
        <v>1080</v>
      </c>
      <c r="E832" s="2" t="s">
        <v>2668</v>
      </c>
      <c r="F832" s="2" t="s">
        <v>24</v>
      </c>
      <c r="G832" s="8" t="s">
        <v>2669</v>
      </c>
      <c r="H832" s="2" t="s">
        <v>2670</v>
      </c>
      <c r="I832" s="1" t="s">
        <v>2671</v>
      </c>
      <c r="J832" s="1" t="s">
        <v>50</v>
      </c>
      <c r="K832" s="6" t="s">
        <v>40</v>
      </c>
      <c r="L832" s="6"/>
    </row>
    <row r="833" spans="1:12" ht="15.75" customHeight="1">
      <c r="A833" s="1" t="s">
        <v>2672</v>
      </c>
      <c r="B833" s="2" t="s">
        <v>2661</v>
      </c>
      <c r="C833" s="2" t="s">
        <v>2662</v>
      </c>
      <c r="D833" s="2" t="s">
        <v>1080</v>
      </c>
      <c r="E833" s="2" t="s">
        <v>2663</v>
      </c>
      <c r="F833" s="2" t="s">
        <v>24</v>
      </c>
      <c r="G833" s="8" t="s">
        <v>2664</v>
      </c>
      <c r="H833" s="2" t="s">
        <v>2673</v>
      </c>
      <c r="I833" s="1" t="s">
        <v>77</v>
      </c>
      <c r="J833" s="1" t="s">
        <v>78</v>
      </c>
      <c r="K833" s="6" t="s">
        <v>40</v>
      </c>
      <c r="L833" s="1"/>
    </row>
    <row r="834" spans="1:12" ht="15.75" customHeight="1">
      <c r="A834" s="1" t="s">
        <v>2674</v>
      </c>
      <c r="B834" s="2" t="s">
        <v>2661</v>
      </c>
      <c r="C834" s="2" t="s">
        <v>2662</v>
      </c>
      <c r="D834" s="2" t="s">
        <v>1080</v>
      </c>
      <c r="E834" s="2" t="s">
        <v>2663</v>
      </c>
      <c r="F834" s="2" t="s">
        <v>24</v>
      </c>
      <c r="G834" s="8" t="s">
        <v>2664</v>
      </c>
      <c r="H834" s="2" t="s">
        <v>2675</v>
      </c>
      <c r="I834" s="1" t="s">
        <v>2676</v>
      </c>
      <c r="J834" s="1" t="s">
        <v>28</v>
      </c>
      <c r="K834" s="6" t="s">
        <v>40</v>
      </c>
      <c r="L834" s="1"/>
    </row>
    <row r="835" spans="1:12" ht="15.75" customHeight="1">
      <c r="A835" s="1" t="s">
        <v>2677</v>
      </c>
      <c r="B835" s="2" t="s">
        <v>2667</v>
      </c>
      <c r="C835" s="2" t="s">
        <v>2662</v>
      </c>
      <c r="D835" s="2" t="s">
        <v>1080</v>
      </c>
      <c r="E835" s="2" t="s">
        <v>2668</v>
      </c>
      <c r="F835" s="2" t="s">
        <v>24</v>
      </c>
      <c r="G835" s="8" t="s">
        <v>2669</v>
      </c>
      <c r="H835" s="2" t="s">
        <v>2678</v>
      </c>
      <c r="I835" s="1" t="s">
        <v>2679</v>
      </c>
      <c r="J835" s="1" t="s">
        <v>35</v>
      </c>
      <c r="K835" s="6" t="s">
        <v>40</v>
      </c>
      <c r="L835" s="6"/>
    </row>
    <row r="836" spans="1:12" ht="15.75" customHeight="1">
      <c r="A836" s="1" t="s">
        <v>2680</v>
      </c>
      <c r="B836" s="2" t="s">
        <v>2661</v>
      </c>
      <c r="C836" s="2" t="s">
        <v>2662</v>
      </c>
      <c r="D836" s="2" t="s">
        <v>1080</v>
      </c>
      <c r="E836" s="2" t="s">
        <v>2663</v>
      </c>
      <c r="F836" s="2" t="s">
        <v>24</v>
      </c>
      <c r="G836" s="8" t="s">
        <v>2664</v>
      </c>
      <c r="H836" s="2" t="s">
        <v>2681</v>
      </c>
      <c r="I836" s="1" t="s">
        <v>83</v>
      </c>
      <c r="J836" s="1" t="s">
        <v>35</v>
      </c>
      <c r="K836" s="6" t="s">
        <v>40</v>
      </c>
      <c r="L836" s="1"/>
    </row>
    <row r="837" spans="1:12" ht="15.75" customHeight="1">
      <c r="A837" s="1" t="s">
        <v>2682</v>
      </c>
      <c r="B837" s="2" t="s">
        <v>2667</v>
      </c>
      <c r="C837" s="2" t="s">
        <v>2662</v>
      </c>
      <c r="D837" s="2" t="s">
        <v>1080</v>
      </c>
      <c r="E837" s="2" t="s">
        <v>2668</v>
      </c>
      <c r="F837" s="2" t="s">
        <v>24</v>
      </c>
      <c r="G837" s="8" t="s">
        <v>2669</v>
      </c>
      <c r="H837" s="2" t="s">
        <v>2683</v>
      </c>
      <c r="I837" s="1" t="s">
        <v>2671</v>
      </c>
      <c r="J837" s="1" t="s">
        <v>50</v>
      </c>
      <c r="K837" s="6" t="s">
        <v>40</v>
      </c>
      <c r="L837" s="6"/>
    </row>
    <row r="838" spans="1:12" ht="15.75" customHeight="1">
      <c r="A838" s="1" t="s">
        <v>2684</v>
      </c>
      <c r="B838" s="2" t="s">
        <v>2661</v>
      </c>
      <c r="C838" s="2" t="s">
        <v>2662</v>
      </c>
      <c r="D838" s="2" t="s">
        <v>1080</v>
      </c>
      <c r="E838" s="2" t="s">
        <v>2663</v>
      </c>
      <c r="F838" s="2" t="s">
        <v>24</v>
      </c>
      <c r="G838" s="8" t="s">
        <v>2664</v>
      </c>
      <c r="H838" s="2" t="s">
        <v>2685</v>
      </c>
      <c r="I838" s="1" t="s">
        <v>2676</v>
      </c>
      <c r="J838" s="1" t="s">
        <v>28</v>
      </c>
      <c r="K838" s="6" t="s">
        <v>40</v>
      </c>
      <c r="L838" s="1"/>
    </row>
    <row r="839" spans="1:12" ht="15.75" customHeight="1">
      <c r="A839" s="1" t="s">
        <v>2686</v>
      </c>
      <c r="B839" s="2" t="s">
        <v>2667</v>
      </c>
      <c r="C839" s="2" t="s">
        <v>2662</v>
      </c>
      <c r="D839" s="2" t="s">
        <v>1080</v>
      </c>
      <c r="E839" s="2" t="s">
        <v>2668</v>
      </c>
      <c r="F839" s="2" t="s">
        <v>24</v>
      </c>
      <c r="G839" s="8" t="s">
        <v>2669</v>
      </c>
      <c r="H839" s="2" t="s">
        <v>2687</v>
      </c>
      <c r="I839" s="1" t="s">
        <v>2688</v>
      </c>
      <c r="J839" s="1" t="s">
        <v>28</v>
      </c>
      <c r="K839" s="6" t="s">
        <v>40</v>
      </c>
      <c r="L839" s="6"/>
    </row>
    <row r="840" spans="1:12" ht="15.75" customHeight="1">
      <c r="A840" s="1" t="s">
        <v>2689</v>
      </c>
      <c r="B840" s="2" t="s">
        <v>2661</v>
      </c>
      <c r="C840" s="2" t="s">
        <v>2662</v>
      </c>
      <c r="D840" s="2" t="s">
        <v>1080</v>
      </c>
      <c r="E840" s="2" t="s">
        <v>2663</v>
      </c>
      <c r="F840" s="2" t="s">
        <v>24</v>
      </c>
      <c r="G840" s="8" t="s">
        <v>2664</v>
      </c>
      <c r="H840" s="2" t="s">
        <v>2690</v>
      </c>
      <c r="I840" s="1" t="s">
        <v>2676</v>
      </c>
      <c r="J840" s="1" t="s">
        <v>28</v>
      </c>
      <c r="K840" s="6" t="s">
        <v>40</v>
      </c>
      <c r="L840" s="1"/>
    </row>
    <row r="841" spans="1:12" ht="15.75" customHeight="1">
      <c r="A841" s="1" t="s">
        <v>2691</v>
      </c>
      <c r="B841" s="2" t="s">
        <v>2667</v>
      </c>
      <c r="C841" s="2" t="s">
        <v>2662</v>
      </c>
      <c r="D841" s="2" t="s">
        <v>1080</v>
      </c>
      <c r="E841" s="2" t="s">
        <v>2668</v>
      </c>
      <c r="F841" s="2" t="s">
        <v>24</v>
      </c>
      <c r="G841" s="8" t="s">
        <v>2669</v>
      </c>
      <c r="H841" s="2" t="s">
        <v>2692</v>
      </c>
      <c r="I841" s="1" t="s">
        <v>2693</v>
      </c>
      <c r="J841" s="1" t="s">
        <v>78</v>
      </c>
      <c r="K841" s="6" t="s">
        <v>40</v>
      </c>
      <c r="L841" s="6"/>
    </row>
    <row r="842" spans="1:12" ht="15.75" customHeight="1">
      <c r="A842" s="1" t="s">
        <v>2694</v>
      </c>
      <c r="B842" s="2" t="s">
        <v>2661</v>
      </c>
      <c r="C842" s="2" t="s">
        <v>2662</v>
      </c>
      <c r="D842" s="2" t="s">
        <v>1080</v>
      </c>
      <c r="E842" s="2" t="s">
        <v>2663</v>
      </c>
      <c r="F842" s="2" t="s">
        <v>24</v>
      </c>
      <c r="G842" s="8" t="s">
        <v>2664</v>
      </c>
      <c r="H842" s="2" t="s">
        <v>2695</v>
      </c>
      <c r="I842" s="1" t="s">
        <v>2676</v>
      </c>
      <c r="J842" s="1" t="s">
        <v>28</v>
      </c>
      <c r="K842" s="6" t="s">
        <v>40</v>
      </c>
      <c r="L842" s="1"/>
    </row>
    <row r="843" spans="1:12" ht="15.75" customHeight="1">
      <c r="A843" s="1" t="s">
        <v>2696</v>
      </c>
      <c r="B843" s="2" t="s">
        <v>2667</v>
      </c>
      <c r="C843" s="2" t="s">
        <v>2662</v>
      </c>
      <c r="D843" s="2" t="s">
        <v>1080</v>
      </c>
      <c r="E843" s="2" t="s">
        <v>2668</v>
      </c>
      <c r="F843" s="2" t="s">
        <v>24</v>
      </c>
      <c r="G843" s="8" t="s">
        <v>2669</v>
      </c>
      <c r="H843" s="2" t="s">
        <v>2697</v>
      </c>
      <c r="I843" s="1" t="s">
        <v>2698</v>
      </c>
      <c r="J843" s="1" t="s">
        <v>35</v>
      </c>
      <c r="K843" s="6" t="s">
        <v>40</v>
      </c>
      <c r="L843" s="6"/>
    </row>
    <row r="844" spans="1:12" ht="15.75" customHeight="1">
      <c r="A844" s="1" t="s">
        <v>2699</v>
      </c>
      <c r="B844" s="2" t="s">
        <v>2661</v>
      </c>
      <c r="C844" s="2" t="s">
        <v>2662</v>
      </c>
      <c r="D844" s="2" t="s">
        <v>1080</v>
      </c>
      <c r="E844" s="2" t="s">
        <v>2663</v>
      </c>
      <c r="F844" s="2" t="s">
        <v>24</v>
      </c>
      <c r="G844" s="8" t="s">
        <v>2664</v>
      </c>
      <c r="H844" s="2" t="s">
        <v>2700</v>
      </c>
      <c r="I844" s="1" t="s">
        <v>1816</v>
      </c>
      <c r="J844" s="1" t="s">
        <v>50</v>
      </c>
      <c r="K844" s="6" t="s">
        <v>40</v>
      </c>
      <c r="L844" s="1"/>
    </row>
    <row r="845" spans="1:12" ht="15.75" customHeight="1">
      <c r="A845" s="1" t="s">
        <v>2701</v>
      </c>
      <c r="B845" s="2" t="s">
        <v>2661</v>
      </c>
      <c r="C845" s="2" t="s">
        <v>2662</v>
      </c>
      <c r="D845" s="2" t="s">
        <v>1080</v>
      </c>
      <c r="E845" s="2" t="s">
        <v>2663</v>
      </c>
      <c r="F845" s="2" t="s">
        <v>24</v>
      </c>
      <c r="G845" s="8" t="s">
        <v>2664</v>
      </c>
      <c r="H845" s="2" t="s">
        <v>2702</v>
      </c>
      <c r="I845" s="1" t="s">
        <v>2676</v>
      </c>
      <c r="J845" s="1" t="s">
        <v>28</v>
      </c>
      <c r="K845" s="6" t="s">
        <v>40</v>
      </c>
      <c r="L845" s="1"/>
    </row>
    <row r="846" spans="1:12" ht="15.75" customHeight="1">
      <c r="A846" s="1" t="s">
        <v>2703</v>
      </c>
      <c r="B846" s="2" t="s">
        <v>2704</v>
      </c>
      <c r="C846" s="2" t="s">
        <v>2705</v>
      </c>
      <c r="D846" s="2" t="s">
        <v>1293</v>
      </c>
      <c r="E846" s="2" t="s">
        <v>2706</v>
      </c>
      <c r="F846" s="2" t="s">
        <v>264</v>
      </c>
      <c r="G846" s="8" t="s">
        <v>2707</v>
      </c>
      <c r="H846" s="2" t="s">
        <v>2708</v>
      </c>
      <c r="I846" s="1" t="s">
        <v>1297</v>
      </c>
      <c r="J846" s="1" t="s">
        <v>50</v>
      </c>
      <c r="K846" s="6" t="s">
        <v>40</v>
      </c>
      <c r="L846" s="1"/>
    </row>
    <row r="847" spans="1:12" ht="15.75" customHeight="1">
      <c r="A847" s="1" t="s">
        <v>2709</v>
      </c>
      <c r="B847" s="2" t="s">
        <v>2710</v>
      </c>
      <c r="C847" s="2" t="s">
        <v>2705</v>
      </c>
      <c r="D847" s="2" t="s">
        <v>1293</v>
      </c>
      <c r="E847" s="2" t="s">
        <v>2711</v>
      </c>
      <c r="F847" s="2" t="s">
        <v>126</v>
      </c>
      <c r="G847" s="8" t="s">
        <v>2712</v>
      </c>
      <c r="H847" s="2" t="s">
        <v>2713</v>
      </c>
      <c r="I847" s="1" t="s">
        <v>34</v>
      </c>
      <c r="J847" s="1" t="s">
        <v>35</v>
      </c>
      <c r="K847" s="6" t="s">
        <v>40</v>
      </c>
      <c r="L847" s="1"/>
    </row>
    <row r="848" spans="1:12" ht="15.75" customHeight="1">
      <c r="A848" s="1" t="s">
        <v>2714</v>
      </c>
      <c r="B848" s="2" t="s">
        <v>2710</v>
      </c>
      <c r="C848" s="2" t="s">
        <v>2705</v>
      </c>
      <c r="D848" s="2" t="s">
        <v>1293</v>
      </c>
      <c r="E848" s="2" t="s">
        <v>2711</v>
      </c>
      <c r="F848" s="2" t="s">
        <v>126</v>
      </c>
      <c r="G848" s="8" t="s">
        <v>2712</v>
      </c>
      <c r="H848" s="2" t="s">
        <v>2715</v>
      </c>
      <c r="I848" s="1" t="s">
        <v>34</v>
      </c>
      <c r="J848" s="1" t="s">
        <v>35</v>
      </c>
      <c r="K848" s="6" t="s">
        <v>40</v>
      </c>
      <c r="L848" s="1"/>
    </row>
    <row r="849" spans="1:12" ht="15.75" customHeight="1">
      <c r="A849" s="1" t="s">
        <v>2716</v>
      </c>
      <c r="B849" s="2" t="s">
        <v>2717</v>
      </c>
      <c r="C849" s="2" t="s">
        <v>2705</v>
      </c>
      <c r="D849" s="2" t="s">
        <v>1293</v>
      </c>
      <c r="E849" s="2" t="s">
        <v>2718</v>
      </c>
      <c r="F849" s="2" t="s">
        <v>46</v>
      </c>
      <c r="G849" s="8" t="s">
        <v>2719</v>
      </c>
      <c r="H849" s="2" t="s">
        <v>2720</v>
      </c>
      <c r="I849" s="1" t="s">
        <v>34</v>
      </c>
      <c r="J849" s="1" t="s">
        <v>35</v>
      </c>
      <c r="K849" s="6" t="s">
        <v>40</v>
      </c>
      <c r="L849" s="1"/>
    </row>
    <row r="850" spans="1:12" ht="15.75" customHeight="1">
      <c r="A850" s="1" t="s">
        <v>2721</v>
      </c>
      <c r="B850" s="2" t="s">
        <v>2722</v>
      </c>
      <c r="C850" s="2" t="s">
        <v>2705</v>
      </c>
      <c r="D850" s="2" t="s">
        <v>1293</v>
      </c>
      <c r="E850" s="2" t="s">
        <v>2723</v>
      </c>
      <c r="F850" s="2" t="s">
        <v>126</v>
      </c>
      <c r="G850" s="8" t="s">
        <v>2724</v>
      </c>
      <c r="H850" s="2" t="s">
        <v>2725</v>
      </c>
      <c r="I850" s="1" t="s">
        <v>351</v>
      </c>
      <c r="J850" s="1" t="s">
        <v>28</v>
      </c>
      <c r="K850" s="20" t="s">
        <v>144</v>
      </c>
      <c r="L850" s="1" t="s">
        <v>3885</v>
      </c>
    </row>
    <row r="851" spans="1:12" ht="15.75" customHeight="1">
      <c r="A851" s="1" t="s">
        <v>2726</v>
      </c>
      <c r="B851" s="2" t="s">
        <v>2727</v>
      </c>
      <c r="C851" s="2" t="s">
        <v>2705</v>
      </c>
      <c r="D851" s="2" t="s">
        <v>1293</v>
      </c>
      <c r="E851" s="2" t="s">
        <v>2728</v>
      </c>
      <c r="F851" s="2" t="s">
        <v>15</v>
      </c>
      <c r="G851" s="8" t="s">
        <v>2729</v>
      </c>
      <c r="H851" s="2" t="s">
        <v>2730</v>
      </c>
      <c r="I851" s="1" t="s">
        <v>351</v>
      </c>
      <c r="J851" s="1" t="s">
        <v>28</v>
      </c>
      <c r="K851" s="6" t="s">
        <v>40</v>
      </c>
      <c r="L851" s="1"/>
    </row>
    <row r="852" spans="1:12" ht="15.75" customHeight="1">
      <c r="A852" s="1" t="s">
        <v>2731</v>
      </c>
      <c r="B852" s="2" t="s">
        <v>2710</v>
      </c>
      <c r="C852" s="2" t="s">
        <v>2705</v>
      </c>
      <c r="D852" s="2" t="s">
        <v>1293</v>
      </c>
      <c r="E852" s="2" t="s">
        <v>2711</v>
      </c>
      <c r="F852" s="2" t="s">
        <v>126</v>
      </c>
      <c r="G852" s="8" t="s">
        <v>2712</v>
      </c>
      <c r="H852" s="2" t="s">
        <v>2732</v>
      </c>
      <c r="I852" s="1" t="s">
        <v>34</v>
      </c>
      <c r="J852" s="1" t="s">
        <v>35</v>
      </c>
      <c r="K852" s="6" t="s">
        <v>40</v>
      </c>
      <c r="L852" s="1"/>
    </row>
    <row r="853" spans="1:12" ht="15.75" customHeight="1">
      <c r="A853" s="1" t="s">
        <v>2733</v>
      </c>
      <c r="B853" s="2" t="s">
        <v>2734</v>
      </c>
      <c r="C853" s="2" t="s">
        <v>2705</v>
      </c>
      <c r="D853" s="2" t="s">
        <v>1293</v>
      </c>
      <c r="E853" s="2" t="s">
        <v>2735</v>
      </c>
      <c r="F853" s="2" t="s">
        <v>120</v>
      </c>
      <c r="G853" s="8" t="s">
        <v>2736</v>
      </c>
      <c r="H853" s="2" t="s">
        <v>2737</v>
      </c>
      <c r="I853" s="1" t="s">
        <v>34</v>
      </c>
      <c r="J853" s="1" t="s">
        <v>35</v>
      </c>
      <c r="K853" s="6" t="s">
        <v>40</v>
      </c>
      <c r="L853" s="1"/>
    </row>
    <row r="854" spans="1:12" ht="15.75" customHeight="1">
      <c r="A854" s="1" t="s">
        <v>2738</v>
      </c>
      <c r="B854" s="2" t="s">
        <v>2739</v>
      </c>
      <c r="C854" s="2" t="s">
        <v>2705</v>
      </c>
      <c r="D854" s="2" t="s">
        <v>1293</v>
      </c>
      <c r="E854" s="2" t="s">
        <v>2740</v>
      </c>
      <c r="F854" s="2" t="s">
        <v>120</v>
      </c>
      <c r="G854" s="8" t="s">
        <v>2741</v>
      </c>
      <c r="H854" s="2" t="s">
        <v>2742</v>
      </c>
      <c r="I854" s="1" t="s">
        <v>2743</v>
      </c>
      <c r="J854" s="1" t="s">
        <v>19</v>
      </c>
      <c r="K854" s="6" t="s">
        <v>40</v>
      </c>
      <c r="L854" s="1"/>
    </row>
    <row r="855" spans="1:12" ht="15.75" customHeight="1">
      <c r="A855" s="1" t="s">
        <v>2744</v>
      </c>
      <c r="B855" s="2" t="s">
        <v>2745</v>
      </c>
      <c r="C855" s="2" t="s">
        <v>2705</v>
      </c>
      <c r="D855" s="2" t="s">
        <v>1293</v>
      </c>
      <c r="E855" s="2" t="s">
        <v>2746</v>
      </c>
      <c r="F855" s="2" t="s">
        <v>24</v>
      </c>
      <c r="G855" s="8" t="s">
        <v>2747</v>
      </c>
      <c r="H855" s="2" t="s">
        <v>2748</v>
      </c>
      <c r="I855" s="1" t="s">
        <v>34</v>
      </c>
      <c r="J855" s="1" t="s">
        <v>35</v>
      </c>
      <c r="K855" s="6" t="s">
        <v>40</v>
      </c>
      <c r="L855" s="1"/>
    </row>
    <row r="856" spans="1:12" ht="15.75" customHeight="1">
      <c r="A856" s="1" t="s">
        <v>2749</v>
      </c>
      <c r="B856" s="2" t="s">
        <v>2704</v>
      </c>
      <c r="C856" s="2" t="s">
        <v>2705</v>
      </c>
      <c r="D856" s="2" t="s">
        <v>1293</v>
      </c>
      <c r="E856" s="2" t="s">
        <v>2706</v>
      </c>
      <c r="F856" s="2" t="s">
        <v>264</v>
      </c>
      <c r="G856" s="8" t="s">
        <v>2707</v>
      </c>
      <c r="H856" s="2" t="s">
        <v>2750</v>
      </c>
      <c r="I856" s="1" t="s">
        <v>116</v>
      </c>
      <c r="J856" s="1" t="s">
        <v>19</v>
      </c>
      <c r="K856" s="6" t="s">
        <v>40</v>
      </c>
      <c r="L856" s="1"/>
    </row>
    <row r="857" spans="1:12" ht="15.75" customHeight="1">
      <c r="A857" s="1" t="s">
        <v>2751</v>
      </c>
      <c r="B857" s="2" t="s">
        <v>2745</v>
      </c>
      <c r="C857" s="2" t="s">
        <v>2705</v>
      </c>
      <c r="D857" s="2" t="s">
        <v>1293</v>
      </c>
      <c r="E857" s="2" t="s">
        <v>2746</v>
      </c>
      <c r="F857" s="2" t="s">
        <v>24</v>
      </c>
      <c r="G857" s="8" t="s">
        <v>2747</v>
      </c>
      <c r="H857" s="2" t="s">
        <v>2752</v>
      </c>
      <c r="I857" s="1" t="s">
        <v>2753</v>
      </c>
      <c r="J857" s="1" t="s">
        <v>50</v>
      </c>
      <c r="K857" s="6" t="s">
        <v>40</v>
      </c>
      <c r="L857" s="1"/>
    </row>
    <row r="858" spans="1:12" ht="15.75" customHeight="1">
      <c r="A858" s="1" t="s">
        <v>2754</v>
      </c>
      <c r="B858" s="2" t="s">
        <v>2717</v>
      </c>
      <c r="C858" s="2" t="s">
        <v>2705</v>
      </c>
      <c r="D858" s="2" t="s">
        <v>1293</v>
      </c>
      <c r="E858" s="2" t="s">
        <v>2718</v>
      </c>
      <c r="F858" s="2" t="s">
        <v>46</v>
      </c>
      <c r="G858" s="8" t="s">
        <v>2719</v>
      </c>
      <c r="H858" s="2" t="s">
        <v>2755</v>
      </c>
      <c r="I858" s="1" t="s">
        <v>1297</v>
      </c>
      <c r="J858" s="1" t="s">
        <v>50</v>
      </c>
      <c r="K858" s="6" t="s">
        <v>40</v>
      </c>
      <c r="L858" s="1"/>
    </row>
    <row r="859" spans="1:12" ht="15.75" customHeight="1">
      <c r="A859" s="1" t="s">
        <v>2756</v>
      </c>
      <c r="B859" s="2" t="s">
        <v>2717</v>
      </c>
      <c r="C859" s="2" t="s">
        <v>2705</v>
      </c>
      <c r="D859" s="2" t="s">
        <v>1293</v>
      </c>
      <c r="E859" s="2" t="s">
        <v>2718</v>
      </c>
      <c r="F859" s="2" t="s">
        <v>46</v>
      </c>
      <c r="G859" s="8" t="s">
        <v>2719</v>
      </c>
      <c r="H859" s="2" t="s">
        <v>2757</v>
      </c>
      <c r="I859" s="1" t="s">
        <v>351</v>
      </c>
      <c r="J859" s="1" t="s">
        <v>28</v>
      </c>
      <c r="K859" s="6" t="s">
        <v>40</v>
      </c>
      <c r="L859" s="1"/>
    </row>
    <row r="860" spans="1:12" ht="15.75" customHeight="1">
      <c r="A860" s="1" t="s">
        <v>2758</v>
      </c>
      <c r="B860" s="2" t="s">
        <v>2717</v>
      </c>
      <c r="C860" s="2" t="s">
        <v>2705</v>
      </c>
      <c r="D860" s="2" t="s">
        <v>1293</v>
      </c>
      <c r="E860" s="2" t="s">
        <v>2718</v>
      </c>
      <c r="F860" s="2" t="s">
        <v>46</v>
      </c>
      <c r="G860" s="8" t="s">
        <v>2719</v>
      </c>
      <c r="H860" s="2" t="s">
        <v>2759</v>
      </c>
      <c r="I860" s="1" t="s">
        <v>2760</v>
      </c>
      <c r="J860" s="1" t="s">
        <v>50</v>
      </c>
      <c r="K860" s="6" t="s">
        <v>40</v>
      </c>
      <c r="L860" s="1"/>
    </row>
    <row r="861" spans="1:12" ht="15.75" customHeight="1">
      <c r="A861" s="1" t="s">
        <v>2761</v>
      </c>
      <c r="B861" s="2" t="s">
        <v>2717</v>
      </c>
      <c r="C861" s="2" t="s">
        <v>2705</v>
      </c>
      <c r="D861" s="2" t="s">
        <v>1293</v>
      </c>
      <c r="E861" s="2" t="s">
        <v>2718</v>
      </c>
      <c r="F861" s="2" t="s">
        <v>46</v>
      </c>
      <c r="G861" s="8" t="s">
        <v>2719</v>
      </c>
      <c r="H861" s="2" t="s">
        <v>2762</v>
      </c>
      <c r="I861" s="1" t="s">
        <v>34</v>
      </c>
      <c r="J861" s="1" t="s">
        <v>35</v>
      </c>
      <c r="K861" s="6" t="s">
        <v>40</v>
      </c>
      <c r="L861" s="1"/>
    </row>
    <row r="862" spans="1:12" ht="15.75" customHeight="1">
      <c r="A862" s="1" t="s">
        <v>2763</v>
      </c>
      <c r="B862" s="2" t="s">
        <v>2710</v>
      </c>
      <c r="C862" s="2" t="s">
        <v>2705</v>
      </c>
      <c r="D862" s="2" t="s">
        <v>1293</v>
      </c>
      <c r="E862" s="2" t="s">
        <v>2711</v>
      </c>
      <c r="F862" s="2" t="s">
        <v>126</v>
      </c>
      <c r="G862" s="8" t="s">
        <v>2712</v>
      </c>
      <c r="H862" s="2" t="s">
        <v>2764</v>
      </c>
      <c r="I862" s="1" t="s">
        <v>1125</v>
      </c>
      <c r="J862" s="1" t="s">
        <v>50</v>
      </c>
      <c r="K862" s="6" t="s">
        <v>40</v>
      </c>
      <c r="L862" s="6"/>
    </row>
    <row r="863" spans="1:12" ht="15.75" customHeight="1">
      <c r="A863" s="1" t="s">
        <v>2765</v>
      </c>
      <c r="B863" s="2" t="s">
        <v>2717</v>
      </c>
      <c r="C863" s="2" t="s">
        <v>2705</v>
      </c>
      <c r="D863" s="2" t="s">
        <v>1293</v>
      </c>
      <c r="E863" s="2" t="s">
        <v>2718</v>
      </c>
      <c r="F863" s="2" t="s">
        <v>46</v>
      </c>
      <c r="G863" s="8" t="s">
        <v>2719</v>
      </c>
      <c r="H863" s="2" t="s">
        <v>2766</v>
      </c>
      <c r="I863" s="1" t="s">
        <v>34</v>
      </c>
      <c r="J863" s="1" t="s">
        <v>35</v>
      </c>
      <c r="K863" s="6" t="s">
        <v>40</v>
      </c>
      <c r="L863" s="1"/>
    </row>
    <row r="864" spans="1:12" ht="15.75" customHeight="1">
      <c r="A864" s="1" t="s">
        <v>2767</v>
      </c>
      <c r="B864" s="2" t="s">
        <v>2704</v>
      </c>
      <c r="C864" s="2" t="s">
        <v>2705</v>
      </c>
      <c r="D864" s="2" t="s">
        <v>1293</v>
      </c>
      <c r="E864" s="2" t="s">
        <v>2706</v>
      </c>
      <c r="F864" s="2" t="s">
        <v>264</v>
      </c>
      <c r="G864" s="8" t="s">
        <v>2707</v>
      </c>
      <c r="H864" s="2" t="s">
        <v>2768</v>
      </c>
      <c r="I864" s="1" t="s">
        <v>143</v>
      </c>
      <c r="J864" s="1" t="s">
        <v>35</v>
      </c>
      <c r="K864" s="6" t="s">
        <v>40</v>
      </c>
      <c r="L864" s="1"/>
    </row>
    <row r="865" spans="1:12" ht="15.75" customHeight="1">
      <c r="A865" s="1" t="s">
        <v>2769</v>
      </c>
      <c r="B865" s="2" t="s">
        <v>2722</v>
      </c>
      <c r="C865" s="2" t="s">
        <v>2705</v>
      </c>
      <c r="D865" s="2" t="s">
        <v>1293</v>
      </c>
      <c r="E865" s="2" t="s">
        <v>2723</v>
      </c>
      <c r="F865" s="2" t="s">
        <v>126</v>
      </c>
      <c r="G865" s="8" t="s">
        <v>2724</v>
      </c>
      <c r="H865" s="2" t="s">
        <v>2770</v>
      </c>
      <c r="I865" s="1" t="s">
        <v>351</v>
      </c>
      <c r="J865" s="1" t="s">
        <v>28</v>
      </c>
      <c r="K865" s="20" t="s">
        <v>144</v>
      </c>
      <c r="L865" s="1" t="s">
        <v>3885</v>
      </c>
    </row>
    <row r="866" spans="1:12" ht="15.75" customHeight="1">
      <c r="A866" s="1" t="s">
        <v>2771</v>
      </c>
      <c r="B866" s="2" t="s">
        <v>2710</v>
      </c>
      <c r="C866" s="2" t="s">
        <v>2705</v>
      </c>
      <c r="D866" s="2" t="s">
        <v>1293</v>
      </c>
      <c r="E866" s="2" t="s">
        <v>2711</v>
      </c>
      <c r="F866" s="2" t="s">
        <v>126</v>
      </c>
      <c r="G866" s="8" t="s">
        <v>2712</v>
      </c>
      <c r="H866" s="2" t="s">
        <v>2772</v>
      </c>
      <c r="I866" s="1" t="s">
        <v>34</v>
      </c>
      <c r="J866" s="1" t="s">
        <v>35</v>
      </c>
      <c r="K866" s="6" t="s">
        <v>40</v>
      </c>
      <c r="L866" s="1"/>
    </row>
    <row r="867" spans="1:12" ht="15.75" customHeight="1">
      <c r="A867" s="1" t="s">
        <v>2773</v>
      </c>
      <c r="B867" s="2" t="s">
        <v>2774</v>
      </c>
      <c r="C867" s="2" t="s">
        <v>2705</v>
      </c>
      <c r="D867" s="2" t="s">
        <v>1293</v>
      </c>
      <c r="E867" s="2" t="s">
        <v>2775</v>
      </c>
      <c r="F867" s="2" t="s">
        <v>24</v>
      </c>
      <c r="G867" s="8" t="s">
        <v>2776</v>
      </c>
      <c r="H867" s="2" t="s">
        <v>2777</v>
      </c>
      <c r="I867" s="1" t="s">
        <v>351</v>
      </c>
      <c r="J867" s="1" t="s">
        <v>28</v>
      </c>
      <c r="K867" s="6" t="s">
        <v>40</v>
      </c>
      <c r="L867" s="1"/>
    </row>
    <row r="868" spans="1:12" ht="15.75" customHeight="1">
      <c r="A868" s="1" t="s">
        <v>2778</v>
      </c>
      <c r="B868" s="2" t="s">
        <v>2710</v>
      </c>
      <c r="C868" s="2" t="s">
        <v>2705</v>
      </c>
      <c r="D868" s="2" t="s">
        <v>1293</v>
      </c>
      <c r="E868" s="2" t="s">
        <v>2711</v>
      </c>
      <c r="F868" s="2" t="s">
        <v>126</v>
      </c>
      <c r="G868" s="8" t="s">
        <v>2712</v>
      </c>
      <c r="H868" s="2" t="s">
        <v>2779</v>
      </c>
      <c r="I868" s="1" t="s">
        <v>1125</v>
      </c>
      <c r="J868" s="1" t="s">
        <v>50</v>
      </c>
      <c r="K868" s="6" t="s">
        <v>40</v>
      </c>
      <c r="L868" s="6"/>
    </row>
    <row r="869" spans="1:12" ht="15.75" customHeight="1">
      <c r="A869" s="1" t="s">
        <v>2780</v>
      </c>
      <c r="B869" s="2" t="s">
        <v>2710</v>
      </c>
      <c r="C869" s="2" t="s">
        <v>2705</v>
      </c>
      <c r="D869" s="2" t="s">
        <v>1293</v>
      </c>
      <c r="E869" s="2" t="s">
        <v>2711</v>
      </c>
      <c r="F869" s="2" t="s">
        <v>126</v>
      </c>
      <c r="G869" s="8" t="s">
        <v>2712</v>
      </c>
      <c r="H869" s="2" t="s">
        <v>2781</v>
      </c>
      <c r="I869" s="1" t="s">
        <v>34</v>
      </c>
      <c r="J869" s="1" t="s">
        <v>35</v>
      </c>
      <c r="K869" s="6" t="s">
        <v>40</v>
      </c>
      <c r="L869" s="1"/>
    </row>
    <row r="870" spans="1:12" ht="15.75" customHeight="1">
      <c r="A870" s="1" t="s">
        <v>2782</v>
      </c>
      <c r="B870" s="2" t="s">
        <v>2717</v>
      </c>
      <c r="C870" s="2" t="s">
        <v>2705</v>
      </c>
      <c r="D870" s="2" t="s">
        <v>1293</v>
      </c>
      <c r="E870" s="2" t="s">
        <v>2718</v>
      </c>
      <c r="F870" s="2" t="s">
        <v>46</v>
      </c>
      <c r="G870" s="8" t="s">
        <v>2719</v>
      </c>
      <c r="H870" s="2" t="s">
        <v>2783</v>
      </c>
      <c r="I870" s="1" t="s">
        <v>34</v>
      </c>
      <c r="J870" s="1" t="s">
        <v>35</v>
      </c>
      <c r="K870" s="6" t="s">
        <v>40</v>
      </c>
      <c r="L870" s="1"/>
    </row>
    <row r="871" spans="1:12" ht="15.75" customHeight="1">
      <c r="A871" s="1" t="s">
        <v>2784</v>
      </c>
      <c r="B871" s="2" t="s">
        <v>2710</v>
      </c>
      <c r="C871" s="2" t="s">
        <v>2705</v>
      </c>
      <c r="D871" s="2" t="s">
        <v>1293</v>
      </c>
      <c r="E871" s="2" t="s">
        <v>2711</v>
      </c>
      <c r="F871" s="2" t="s">
        <v>126</v>
      </c>
      <c r="G871" s="8" t="s">
        <v>2712</v>
      </c>
      <c r="H871" s="2" t="s">
        <v>2785</v>
      </c>
      <c r="I871" s="1" t="s">
        <v>1125</v>
      </c>
      <c r="J871" s="1" t="s">
        <v>50</v>
      </c>
      <c r="K871" s="6" t="s">
        <v>40</v>
      </c>
      <c r="L871" s="1"/>
    </row>
    <row r="872" spans="1:12" ht="15.75" customHeight="1">
      <c r="A872" s="1" t="s">
        <v>2786</v>
      </c>
      <c r="B872" s="2" t="s">
        <v>2704</v>
      </c>
      <c r="C872" s="2" t="s">
        <v>2705</v>
      </c>
      <c r="D872" s="2" t="s">
        <v>1293</v>
      </c>
      <c r="E872" s="2" t="s">
        <v>2706</v>
      </c>
      <c r="F872" s="2" t="s">
        <v>264</v>
      </c>
      <c r="G872" s="8" t="s">
        <v>2707</v>
      </c>
      <c r="H872" s="2" t="s">
        <v>2787</v>
      </c>
      <c r="I872" s="1" t="s">
        <v>1297</v>
      </c>
      <c r="J872" s="1" t="s">
        <v>50</v>
      </c>
      <c r="K872" s="6" t="s">
        <v>40</v>
      </c>
      <c r="L872" s="1"/>
    </row>
    <row r="873" spans="1:12" ht="15.75" customHeight="1">
      <c r="A873" s="1" t="s">
        <v>2788</v>
      </c>
      <c r="B873" s="2" t="s">
        <v>2710</v>
      </c>
      <c r="C873" s="2" t="s">
        <v>2705</v>
      </c>
      <c r="D873" s="2" t="s">
        <v>1293</v>
      </c>
      <c r="E873" s="2" t="s">
        <v>2711</v>
      </c>
      <c r="F873" s="2" t="s">
        <v>126</v>
      </c>
      <c r="G873" s="8" t="s">
        <v>2712</v>
      </c>
      <c r="H873" s="2" t="s">
        <v>2789</v>
      </c>
      <c r="I873" s="1" t="s">
        <v>18</v>
      </c>
      <c r="J873" s="1" t="s">
        <v>19</v>
      </c>
      <c r="K873" s="6" t="s">
        <v>40</v>
      </c>
      <c r="L873" s="1"/>
    </row>
    <row r="874" spans="1:12" ht="15.75" customHeight="1">
      <c r="A874" s="1" t="s">
        <v>2790</v>
      </c>
      <c r="B874" s="2" t="s">
        <v>2710</v>
      </c>
      <c r="C874" s="2" t="s">
        <v>2705</v>
      </c>
      <c r="D874" s="2" t="s">
        <v>1293</v>
      </c>
      <c r="E874" s="2" t="s">
        <v>2711</v>
      </c>
      <c r="F874" s="2" t="s">
        <v>126</v>
      </c>
      <c r="G874" s="8" t="s">
        <v>2712</v>
      </c>
      <c r="H874" s="2" t="s">
        <v>2791</v>
      </c>
      <c r="I874" s="1" t="s">
        <v>1125</v>
      </c>
      <c r="J874" s="1" t="s">
        <v>50</v>
      </c>
      <c r="K874" s="6" t="s">
        <v>40</v>
      </c>
      <c r="L874" s="1"/>
    </row>
    <row r="875" spans="1:12" ht="15.75" customHeight="1">
      <c r="A875" s="1" t="s">
        <v>2792</v>
      </c>
      <c r="B875" s="2" t="s">
        <v>2734</v>
      </c>
      <c r="C875" s="2" t="s">
        <v>2705</v>
      </c>
      <c r="D875" s="2" t="s">
        <v>1293</v>
      </c>
      <c r="E875" s="2" t="s">
        <v>2735</v>
      </c>
      <c r="F875" s="2" t="s">
        <v>120</v>
      </c>
      <c r="G875" s="8" t="s">
        <v>2736</v>
      </c>
      <c r="H875" s="2" t="s">
        <v>2793</v>
      </c>
      <c r="I875" s="1" t="s">
        <v>351</v>
      </c>
      <c r="J875" s="1" t="s">
        <v>28</v>
      </c>
      <c r="K875" s="6" t="s">
        <v>40</v>
      </c>
      <c r="L875" s="1"/>
    </row>
    <row r="876" spans="1:12" ht="15.75" customHeight="1">
      <c r="A876" s="1" t="s">
        <v>2794</v>
      </c>
      <c r="B876" s="2" t="s">
        <v>2739</v>
      </c>
      <c r="C876" s="2" t="s">
        <v>2705</v>
      </c>
      <c r="D876" s="2" t="s">
        <v>1293</v>
      </c>
      <c r="E876" s="2" t="s">
        <v>2740</v>
      </c>
      <c r="F876" s="2" t="s">
        <v>120</v>
      </c>
      <c r="G876" s="8" t="s">
        <v>2741</v>
      </c>
      <c r="H876" s="2" t="s">
        <v>2795</v>
      </c>
      <c r="I876" s="1" t="s">
        <v>2743</v>
      </c>
      <c r="J876" s="1" t="s">
        <v>19</v>
      </c>
      <c r="K876" s="6" t="s">
        <v>40</v>
      </c>
      <c r="L876" s="1"/>
    </row>
    <row r="877" spans="1:12" ht="15.75" customHeight="1">
      <c r="A877" s="1" t="s">
        <v>2796</v>
      </c>
      <c r="B877" s="2" t="s">
        <v>2704</v>
      </c>
      <c r="C877" s="2" t="s">
        <v>2705</v>
      </c>
      <c r="D877" s="2" t="s">
        <v>1293</v>
      </c>
      <c r="E877" s="2" t="s">
        <v>2706</v>
      </c>
      <c r="F877" s="2" t="s">
        <v>264</v>
      </c>
      <c r="G877" s="2" t="s">
        <v>2707</v>
      </c>
      <c r="H877" s="2" t="s">
        <v>2797</v>
      </c>
      <c r="I877" s="1" t="s">
        <v>143</v>
      </c>
      <c r="J877" s="1" t="s">
        <v>35</v>
      </c>
      <c r="K877" s="6" t="s">
        <v>40</v>
      </c>
      <c r="L877" s="1"/>
    </row>
    <row r="878" spans="1:12" ht="15.75" customHeight="1">
      <c r="A878" s="1" t="s">
        <v>2798</v>
      </c>
      <c r="B878" s="2" t="s">
        <v>2722</v>
      </c>
      <c r="C878" s="2" t="s">
        <v>2705</v>
      </c>
      <c r="D878" s="2" t="s">
        <v>1293</v>
      </c>
      <c r="E878" s="2" t="s">
        <v>2723</v>
      </c>
      <c r="F878" s="2" t="s">
        <v>126</v>
      </c>
      <c r="G878" s="8" t="s">
        <v>2724</v>
      </c>
      <c r="H878" s="4" t="s">
        <v>2799</v>
      </c>
      <c r="I878" s="1" t="s">
        <v>34</v>
      </c>
      <c r="J878" s="1" t="s">
        <v>35</v>
      </c>
      <c r="K878" s="6" t="s">
        <v>144</v>
      </c>
      <c r="L878" s="1" t="s">
        <v>3884</v>
      </c>
    </row>
    <row r="879" spans="1:12" ht="15.75" customHeight="1">
      <c r="A879" s="1" t="s">
        <v>2800</v>
      </c>
      <c r="B879" s="2" t="s">
        <v>2717</v>
      </c>
      <c r="C879" s="2" t="s">
        <v>2705</v>
      </c>
      <c r="D879" s="2" t="s">
        <v>1293</v>
      </c>
      <c r="E879" s="2" t="s">
        <v>2718</v>
      </c>
      <c r="F879" s="2" t="s">
        <v>46</v>
      </c>
      <c r="G879" s="8" t="s">
        <v>2719</v>
      </c>
      <c r="H879" s="2" t="s">
        <v>2801</v>
      </c>
      <c r="I879" s="1" t="s">
        <v>1297</v>
      </c>
      <c r="J879" s="1" t="s">
        <v>50</v>
      </c>
      <c r="K879" s="6" t="s">
        <v>40</v>
      </c>
      <c r="L879" s="1"/>
    </row>
    <row r="880" spans="1:12" ht="15.75" customHeight="1">
      <c r="A880" s="1" t="s">
        <v>2802</v>
      </c>
      <c r="B880" s="2" t="s">
        <v>2704</v>
      </c>
      <c r="C880" s="2" t="s">
        <v>2705</v>
      </c>
      <c r="D880" s="2" t="s">
        <v>1293</v>
      </c>
      <c r="E880" s="2" t="s">
        <v>2706</v>
      </c>
      <c r="F880" s="2" t="s">
        <v>264</v>
      </c>
      <c r="G880" s="8" t="s">
        <v>2707</v>
      </c>
      <c r="H880" s="2" t="s">
        <v>2803</v>
      </c>
      <c r="I880" s="1" t="s">
        <v>1297</v>
      </c>
      <c r="J880" s="1" t="s">
        <v>50</v>
      </c>
      <c r="K880" s="6" t="s">
        <v>40</v>
      </c>
      <c r="L880" s="1"/>
    </row>
    <row r="881" spans="1:12" ht="15.75" customHeight="1">
      <c r="A881" s="1" t="s">
        <v>2804</v>
      </c>
      <c r="B881" s="2" t="s">
        <v>2805</v>
      </c>
      <c r="C881" s="2" t="s">
        <v>2806</v>
      </c>
      <c r="D881" s="2" t="s">
        <v>2807</v>
      </c>
      <c r="E881" s="2" t="s">
        <v>2808</v>
      </c>
      <c r="F881" s="2" t="s">
        <v>24</v>
      </c>
      <c r="G881" s="8" t="s">
        <v>2809</v>
      </c>
      <c r="H881" s="2" t="s">
        <v>2810</v>
      </c>
      <c r="I881" s="1" t="s">
        <v>2811</v>
      </c>
      <c r="J881" s="1" t="s">
        <v>35</v>
      </c>
      <c r="K881" s="6" t="s">
        <v>40</v>
      </c>
      <c r="L881" s="1"/>
    </row>
    <row r="882" spans="1:12" ht="15.75" customHeight="1">
      <c r="A882" s="1" t="s">
        <v>2812</v>
      </c>
      <c r="B882" s="2" t="s">
        <v>2805</v>
      </c>
      <c r="C882" s="2" t="s">
        <v>2806</v>
      </c>
      <c r="D882" s="2" t="s">
        <v>2807</v>
      </c>
      <c r="E882" s="2" t="s">
        <v>2808</v>
      </c>
      <c r="F882" s="2" t="s">
        <v>24</v>
      </c>
      <c r="G882" s="8" t="s">
        <v>2809</v>
      </c>
      <c r="H882" s="2" t="s">
        <v>2813</v>
      </c>
      <c r="I882" s="1" t="s">
        <v>2814</v>
      </c>
      <c r="J882" s="1" t="s">
        <v>78</v>
      </c>
      <c r="K882" s="6" t="s">
        <v>40</v>
      </c>
      <c r="L882" s="1"/>
    </row>
    <row r="883" spans="1:12" ht="15.75" customHeight="1">
      <c r="A883" s="1" t="s">
        <v>2815</v>
      </c>
      <c r="B883" s="2" t="s">
        <v>2816</v>
      </c>
      <c r="C883" s="2" t="s">
        <v>2806</v>
      </c>
      <c r="D883" s="2" t="s">
        <v>2807</v>
      </c>
      <c r="E883" s="2" t="s">
        <v>2817</v>
      </c>
      <c r="F883" s="2" t="s">
        <v>120</v>
      </c>
      <c r="G883" s="8" t="s">
        <v>2818</v>
      </c>
      <c r="H883" s="2" t="s">
        <v>2819</v>
      </c>
      <c r="I883" s="1" t="s">
        <v>2820</v>
      </c>
      <c r="J883" s="1" t="s">
        <v>28</v>
      </c>
      <c r="K883" s="6" t="s">
        <v>40</v>
      </c>
      <c r="L883" s="1"/>
    </row>
    <row r="884" spans="1:12" ht="15.75" customHeight="1">
      <c r="A884" s="1" t="s">
        <v>2821</v>
      </c>
      <c r="B884" s="2" t="s">
        <v>2822</v>
      </c>
      <c r="C884" s="2" t="s">
        <v>2806</v>
      </c>
      <c r="D884" s="2" t="s">
        <v>2807</v>
      </c>
      <c r="E884" s="2" t="s">
        <v>2823</v>
      </c>
      <c r="F884" s="2" t="s">
        <v>120</v>
      </c>
      <c r="G884" s="10" t="s">
        <v>2824</v>
      </c>
      <c r="H884" s="2" t="s">
        <v>2825</v>
      </c>
      <c r="I884" s="1" t="s">
        <v>2826</v>
      </c>
      <c r="J884" s="1" t="s">
        <v>35</v>
      </c>
      <c r="K884" s="6" t="s">
        <v>40</v>
      </c>
      <c r="L884" s="1"/>
    </row>
    <row r="885" spans="1:12" ht="15.75" customHeight="1">
      <c r="A885" s="1" t="s">
        <v>2827</v>
      </c>
      <c r="B885" s="2" t="s">
        <v>2828</v>
      </c>
      <c r="C885" s="2" t="s">
        <v>2829</v>
      </c>
      <c r="D885" s="2" t="s">
        <v>1080</v>
      </c>
      <c r="E885" s="2" t="s">
        <v>2830</v>
      </c>
      <c r="F885" s="2" t="s">
        <v>46</v>
      </c>
      <c r="G885" s="10" t="s">
        <v>2831</v>
      </c>
      <c r="H885" s="2" t="s">
        <v>2832</v>
      </c>
      <c r="I885" s="1" t="s">
        <v>83</v>
      </c>
      <c r="J885" s="1" t="s">
        <v>35</v>
      </c>
      <c r="K885" s="6" t="s">
        <v>40</v>
      </c>
      <c r="L885" s="1"/>
    </row>
    <row r="886" spans="1:12" ht="15.75" customHeight="1">
      <c r="A886" s="1" t="s">
        <v>2833</v>
      </c>
      <c r="B886" s="2" t="s">
        <v>2834</v>
      </c>
      <c r="C886" s="2" t="s">
        <v>2829</v>
      </c>
      <c r="D886" s="2" t="s">
        <v>1080</v>
      </c>
      <c r="E886" s="2" t="s">
        <v>2835</v>
      </c>
      <c r="F886" s="2" t="s">
        <v>24</v>
      </c>
      <c r="G886" s="8" t="s">
        <v>2836</v>
      </c>
      <c r="H886" s="2" t="s">
        <v>2837</v>
      </c>
      <c r="I886" s="1" t="s">
        <v>1816</v>
      </c>
      <c r="J886" s="1" t="s">
        <v>50</v>
      </c>
      <c r="K886" s="6" t="s">
        <v>40</v>
      </c>
      <c r="L886" s="1"/>
    </row>
    <row r="887" spans="1:12" ht="15.75" customHeight="1">
      <c r="A887" s="1" t="s">
        <v>2838</v>
      </c>
      <c r="B887" s="2" t="s">
        <v>2839</v>
      </c>
      <c r="C887" s="2" t="s">
        <v>2829</v>
      </c>
      <c r="D887" s="2" t="s">
        <v>1080</v>
      </c>
      <c r="E887" s="2" t="s">
        <v>2840</v>
      </c>
      <c r="F887" s="2" t="s">
        <v>120</v>
      </c>
      <c r="G887" s="8" t="s">
        <v>2841</v>
      </c>
      <c r="H887" s="4" t="s">
        <v>2842</v>
      </c>
      <c r="I887" s="1" t="s">
        <v>1816</v>
      </c>
      <c r="J887" s="1" t="s">
        <v>50</v>
      </c>
      <c r="K887" s="6" t="s">
        <v>40</v>
      </c>
      <c r="L887" s="1"/>
    </row>
    <row r="888" spans="1:12" ht="15.75" customHeight="1">
      <c r="A888" s="1" t="s">
        <v>2843</v>
      </c>
      <c r="B888" s="2" t="s">
        <v>2844</v>
      </c>
      <c r="C888" s="2" t="s">
        <v>2829</v>
      </c>
      <c r="D888" s="2" t="s">
        <v>1080</v>
      </c>
      <c r="E888" s="2" t="s">
        <v>2845</v>
      </c>
      <c r="F888" s="2" t="s">
        <v>46</v>
      </c>
      <c r="G888" s="8" t="s">
        <v>2846</v>
      </c>
      <c r="H888" s="2" t="s">
        <v>2847</v>
      </c>
      <c r="I888" s="1" t="s">
        <v>2743</v>
      </c>
      <c r="J888" s="1" t="s">
        <v>19</v>
      </c>
      <c r="K888" s="6" t="s">
        <v>40</v>
      </c>
      <c r="L888" s="1"/>
    </row>
    <row r="889" spans="1:12" ht="15.75" customHeight="1">
      <c r="A889" s="1" t="s">
        <v>2848</v>
      </c>
      <c r="B889" s="2" t="s">
        <v>2834</v>
      </c>
      <c r="C889" s="2" t="s">
        <v>2829</v>
      </c>
      <c r="D889" s="2" t="s">
        <v>1080</v>
      </c>
      <c r="E889" s="2" t="s">
        <v>2835</v>
      </c>
      <c r="F889" s="2" t="s">
        <v>24</v>
      </c>
      <c r="G889" s="8" t="s">
        <v>2836</v>
      </c>
      <c r="H889" s="2" t="s">
        <v>2849</v>
      </c>
      <c r="I889" s="1" t="s">
        <v>2676</v>
      </c>
      <c r="J889" s="1" t="s">
        <v>28</v>
      </c>
      <c r="K889" s="6" t="s">
        <v>40</v>
      </c>
      <c r="L889" s="1"/>
    </row>
    <row r="890" spans="1:12" ht="15.75" customHeight="1">
      <c r="A890" s="1" t="s">
        <v>2850</v>
      </c>
      <c r="B890" s="2" t="s">
        <v>2851</v>
      </c>
      <c r="C890" s="2" t="s">
        <v>2829</v>
      </c>
      <c r="D890" s="2" t="s">
        <v>1080</v>
      </c>
      <c r="E890" s="2" t="s">
        <v>2852</v>
      </c>
      <c r="F890" s="2" t="s">
        <v>126</v>
      </c>
      <c r="G890" s="8" t="s">
        <v>2853</v>
      </c>
      <c r="H890" s="2" t="s">
        <v>2854</v>
      </c>
      <c r="I890" s="1" t="s">
        <v>1816</v>
      </c>
      <c r="J890" s="1" t="s">
        <v>50</v>
      </c>
      <c r="K890" s="6" t="s">
        <v>40</v>
      </c>
      <c r="L890" s="1"/>
    </row>
    <row r="891" spans="1:12" ht="15.75" customHeight="1">
      <c r="A891" s="1" t="s">
        <v>2855</v>
      </c>
      <c r="B891" s="2" t="s">
        <v>2856</v>
      </c>
      <c r="C891" s="2" t="s">
        <v>2829</v>
      </c>
      <c r="D891" s="2" t="s">
        <v>1080</v>
      </c>
      <c r="E891" s="2" t="s">
        <v>2857</v>
      </c>
      <c r="F891" s="2" t="s">
        <v>180</v>
      </c>
      <c r="G891" s="8" t="s">
        <v>2858</v>
      </c>
      <c r="H891" s="2" t="s">
        <v>2859</v>
      </c>
      <c r="I891" s="1" t="s">
        <v>1816</v>
      </c>
      <c r="J891" s="1" t="s">
        <v>50</v>
      </c>
      <c r="K891" s="6" t="s">
        <v>40</v>
      </c>
      <c r="L891" s="1"/>
    </row>
    <row r="892" spans="1:12" ht="15.75" customHeight="1">
      <c r="A892" s="1" t="s">
        <v>2860</v>
      </c>
      <c r="B892" s="2" t="s">
        <v>2861</v>
      </c>
      <c r="C892" s="2" t="s">
        <v>2829</v>
      </c>
      <c r="D892" s="2" t="s">
        <v>1080</v>
      </c>
      <c r="E892" s="2" t="s">
        <v>2862</v>
      </c>
      <c r="F892" s="2" t="s">
        <v>120</v>
      </c>
      <c r="G892" s="8" t="s">
        <v>2863</v>
      </c>
      <c r="H892" s="2" t="s">
        <v>2864</v>
      </c>
      <c r="I892" s="1" t="s">
        <v>83</v>
      </c>
      <c r="J892" s="1" t="s">
        <v>35</v>
      </c>
      <c r="K892" s="6" t="s">
        <v>40</v>
      </c>
      <c r="L892" s="1"/>
    </row>
    <row r="893" spans="1:12" ht="15.75" customHeight="1">
      <c r="A893" s="1" t="s">
        <v>2865</v>
      </c>
      <c r="B893" s="2" t="s">
        <v>2839</v>
      </c>
      <c r="C893" s="2" t="s">
        <v>2829</v>
      </c>
      <c r="D893" s="2" t="s">
        <v>1080</v>
      </c>
      <c r="E893" s="2" t="s">
        <v>2840</v>
      </c>
      <c r="F893" s="2" t="s">
        <v>120</v>
      </c>
      <c r="G893" s="8" t="s">
        <v>2841</v>
      </c>
      <c r="H893" s="2" t="s">
        <v>2866</v>
      </c>
      <c r="I893" s="1" t="s">
        <v>83</v>
      </c>
      <c r="J893" s="1" t="s">
        <v>35</v>
      </c>
      <c r="K893" s="6" t="s">
        <v>40</v>
      </c>
      <c r="L893" s="1"/>
    </row>
    <row r="894" spans="1:12" ht="15.75" customHeight="1">
      <c r="A894" s="1" t="s">
        <v>2867</v>
      </c>
      <c r="B894" s="2" t="s">
        <v>2851</v>
      </c>
      <c r="C894" s="2" t="s">
        <v>2829</v>
      </c>
      <c r="D894" s="2" t="s">
        <v>1080</v>
      </c>
      <c r="E894" s="2" t="s">
        <v>2852</v>
      </c>
      <c r="F894" s="2" t="s">
        <v>126</v>
      </c>
      <c r="G894" s="8" t="s">
        <v>2853</v>
      </c>
      <c r="H894" s="2" t="s">
        <v>2868</v>
      </c>
      <c r="I894" s="1" t="s">
        <v>1816</v>
      </c>
      <c r="J894" s="1" t="s">
        <v>50</v>
      </c>
      <c r="K894" s="6" t="s">
        <v>40</v>
      </c>
      <c r="L894" s="1"/>
    </row>
    <row r="895" spans="1:12" ht="15.75" customHeight="1">
      <c r="A895" s="1" t="s">
        <v>2869</v>
      </c>
      <c r="B895" s="2" t="s">
        <v>2870</v>
      </c>
      <c r="C895" s="2" t="s">
        <v>2829</v>
      </c>
      <c r="D895" s="2" t="s">
        <v>1080</v>
      </c>
      <c r="E895" s="2" t="s">
        <v>2871</v>
      </c>
      <c r="F895" s="2" t="s">
        <v>120</v>
      </c>
      <c r="G895" s="8" t="s">
        <v>2872</v>
      </c>
      <c r="H895" s="2" t="s">
        <v>2873</v>
      </c>
      <c r="I895" s="1" t="s">
        <v>1816</v>
      </c>
      <c r="J895" s="1" t="s">
        <v>50</v>
      </c>
      <c r="K895" s="6" t="s">
        <v>40</v>
      </c>
      <c r="L895" s="1"/>
    </row>
    <row r="896" spans="1:12" ht="15.75" customHeight="1">
      <c r="A896" s="1" t="s">
        <v>2874</v>
      </c>
      <c r="B896" s="2" t="s">
        <v>2851</v>
      </c>
      <c r="C896" s="2" t="s">
        <v>2829</v>
      </c>
      <c r="D896" s="2" t="s">
        <v>1080</v>
      </c>
      <c r="E896" s="2" t="s">
        <v>2852</v>
      </c>
      <c r="F896" s="2" t="s">
        <v>126</v>
      </c>
      <c r="G896" s="8" t="s">
        <v>2853</v>
      </c>
      <c r="H896" s="2" t="s">
        <v>2875</v>
      </c>
      <c r="I896" s="1" t="s">
        <v>1816</v>
      </c>
      <c r="J896" s="1" t="s">
        <v>50</v>
      </c>
      <c r="K896" s="6" t="s">
        <v>40</v>
      </c>
      <c r="L896" s="1"/>
    </row>
    <row r="897" spans="1:12" ht="15.75" customHeight="1">
      <c r="A897" s="1" t="s">
        <v>2876</v>
      </c>
      <c r="B897" s="2" t="s">
        <v>2877</v>
      </c>
      <c r="C897" s="2" t="s">
        <v>2829</v>
      </c>
      <c r="D897" s="2" t="s">
        <v>1080</v>
      </c>
      <c r="E897" s="2" t="s">
        <v>2878</v>
      </c>
      <c r="F897" s="2" t="s">
        <v>46</v>
      </c>
      <c r="G897" s="8" t="s">
        <v>2879</v>
      </c>
      <c r="H897" s="2" t="s">
        <v>2880</v>
      </c>
      <c r="I897" s="1" t="s">
        <v>83</v>
      </c>
      <c r="J897" s="1" t="s">
        <v>35</v>
      </c>
      <c r="K897" s="6" t="s">
        <v>40</v>
      </c>
      <c r="L897" s="1"/>
    </row>
    <row r="898" spans="1:12" ht="15.75" customHeight="1">
      <c r="A898" s="1" t="s">
        <v>2881</v>
      </c>
      <c r="B898" s="2" t="s">
        <v>2839</v>
      </c>
      <c r="C898" s="2" t="s">
        <v>2829</v>
      </c>
      <c r="D898" s="2" t="s">
        <v>1080</v>
      </c>
      <c r="E898" s="2" t="s">
        <v>2840</v>
      </c>
      <c r="F898" s="2" t="s">
        <v>120</v>
      </c>
      <c r="G898" s="8" t="s">
        <v>2841</v>
      </c>
      <c r="H898" s="2" t="s">
        <v>2882</v>
      </c>
      <c r="I898" s="1" t="s">
        <v>1816</v>
      </c>
      <c r="J898" s="1" t="s">
        <v>50</v>
      </c>
      <c r="K898" s="6" t="s">
        <v>40</v>
      </c>
      <c r="L898" s="1"/>
    </row>
    <row r="899" spans="1:12" ht="15.75" customHeight="1">
      <c r="A899" s="1" t="s">
        <v>2883</v>
      </c>
      <c r="B899" s="2" t="s">
        <v>2844</v>
      </c>
      <c r="C899" s="2" t="s">
        <v>2829</v>
      </c>
      <c r="D899" s="2" t="s">
        <v>1080</v>
      </c>
      <c r="E899" s="2" t="s">
        <v>2845</v>
      </c>
      <c r="F899" s="2" t="s">
        <v>46</v>
      </c>
      <c r="G899" s="8" t="s">
        <v>2846</v>
      </c>
      <c r="H899" s="4" t="s">
        <v>2884</v>
      </c>
      <c r="I899" s="1" t="s">
        <v>2676</v>
      </c>
      <c r="J899" s="1" t="s">
        <v>28</v>
      </c>
      <c r="K899" s="6" t="s">
        <v>40</v>
      </c>
      <c r="L899" s="6"/>
    </row>
    <row r="900" spans="1:12" ht="15.75" customHeight="1">
      <c r="A900" s="1" t="s">
        <v>2885</v>
      </c>
      <c r="B900" s="2" t="s">
        <v>2870</v>
      </c>
      <c r="C900" s="2" t="s">
        <v>2829</v>
      </c>
      <c r="D900" s="2" t="s">
        <v>1080</v>
      </c>
      <c r="E900" s="2" t="s">
        <v>2871</v>
      </c>
      <c r="F900" s="2" t="s">
        <v>120</v>
      </c>
      <c r="G900" s="8" t="s">
        <v>2872</v>
      </c>
      <c r="H900" s="2" t="s">
        <v>2886</v>
      </c>
      <c r="I900" s="1" t="s">
        <v>1816</v>
      </c>
      <c r="J900" s="1" t="s">
        <v>50</v>
      </c>
      <c r="K900" s="6" t="s">
        <v>40</v>
      </c>
      <c r="L900" s="1"/>
    </row>
    <row r="901" spans="1:12" ht="15.75" customHeight="1">
      <c r="A901" s="1" t="s">
        <v>2887</v>
      </c>
      <c r="B901" s="2" t="s">
        <v>2856</v>
      </c>
      <c r="C901" s="2" t="s">
        <v>2829</v>
      </c>
      <c r="D901" s="2" t="s">
        <v>1080</v>
      </c>
      <c r="E901" s="2" t="s">
        <v>2857</v>
      </c>
      <c r="F901" s="2" t="s">
        <v>180</v>
      </c>
      <c r="G901" s="8" t="s">
        <v>2858</v>
      </c>
      <c r="H901" s="2" t="s">
        <v>2888</v>
      </c>
      <c r="I901" s="1" t="s">
        <v>2676</v>
      </c>
      <c r="J901" s="1" t="s">
        <v>28</v>
      </c>
      <c r="K901" s="6" t="s">
        <v>40</v>
      </c>
      <c r="L901" s="1"/>
    </row>
    <row r="902" spans="1:12" ht="15.75" customHeight="1">
      <c r="A902" s="1" t="s">
        <v>2889</v>
      </c>
      <c r="B902" s="2" t="s">
        <v>2890</v>
      </c>
      <c r="C902" s="2" t="s">
        <v>2829</v>
      </c>
      <c r="D902" s="2" t="s">
        <v>1080</v>
      </c>
      <c r="E902" s="2" t="s">
        <v>2891</v>
      </c>
      <c r="F902" s="2" t="s">
        <v>120</v>
      </c>
      <c r="G902" s="8" t="s">
        <v>2892</v>
      </c>
      <c r="H902" s="2" t="s">
        <v>2893</v>
      </c>
      <c r="I902" s="1" t="s">
        <v>2676</v>
      </c>
      <c r="J902" s="1" t="s">
        <v>28</v>
      </c>
      <c r="K902" s="6" t="s">
        <v>40</v>
      </c>
      <c r="L902" s="1"/>
    </row>
    <row r="903" spans="1:12" ht="15.75" customHeight="1">
      <c r="A903" s="1" t="s">
        <v>2894</v>
      </c>
      <c r="B903" s="2" t="s">
        <v>2870</v>
      </c>
      <c r="C903" s="2" t="s">
        <v>2829</v>
      </c>
      <c r="D903" s="2" t="s">
        <v>1080</v>
      </c>
      <c r="E903" s="2" t="s">
        <v>2871</v>
      </c>
      <c r="F903" s="2" t="s">
        <v>120</v>
      </c>
      <c r="G903" s="8" t="s">
        <v>2872</v>
      </c>
      <c r="H903" s="2" t="s">
        <v>2895</v>
      </c>
      <c r="I903" s="1" t="s">
        <v>1816</v>
      </c>
      <c r="J903" s="1" t="s">
        <v>50</v>
      </c>
      <c r="K903" s="6" t="s">
        <v>40</v>
      </c>
      <c r="L903" s="1"/>
    </row>
    <row r="904" spans="1:12" ht="15.75" customHeight="1">
      <c r="A904" s="1" t="s">
        <v>2896</v>
      </c>
      <c r="B904" s="2" t="s">
        <v>2897</v>
      </c>
      <c r="C904" s="2" t="s">
        <v>2829</v>
      </c>
      <c r="D904" s="2" t="s">
        <v>1080</v>
      </c>
      <c r="E904" s="2" t="s">
        <v>2898</v>
      </c>
      <c r="F904" s="2" t="s">
        <v>140</v>
      </c>
      <c r="G904" s="8" t="s">
        <v>2899</v>
      </c>
      <c r="H904" s="4" t="s">
        <v>2900</v>
      </c>
      <c r="I904" s="1" t="s">
        <v>83</v>
      </c>
      <c r="J904" s="1" t="s">
        <v>35</v>
      </c>
      <c r="K904" s="6" t="s">
        <v>40</v>
      </c>
      <c r="L904" s="1"/>
    </row>
    <row r="905" spans="1:12" ht="15.75" customHeight="1">
      <c r="A905" s="1" t="s">
        <v>2901</v>
      </c>
      <c r="B905" s="2" t="s">
        <v>2856</v>
      </c>
      <c r="C905" s="2" t="s">
        <v>2829</v>
      </c>
      <c r="D905" s="2" t="s">
        <v>1080</v>
      </c>
      <c r="E905" s="2" t="s">
        <v>2857</v>
      </c>
      <c r="F905" s="2" t="s">
        <v>180</v>
      </c>
      <c r="G905" s="8" t="s">
        <v>2858</v>
      </c>
      <c r="H905" s="2" t="s">
        <v>2902</v>
      </c>
      <c r="I905" s="1" t="s">
        <v>1816</v>
      </c>
      <c r="J905" s="1" t="s">
        <v>50</v>
      </c>
      <c r="K905" s="6" t="s">
        <v>40</v>
      </c>
      <c r="L905" s="1"/>
    </row>
    <row r="906" spans="1:12" ht="15.75" customHeight="1">
      <c r="A906" s="1" t="s">
        <v>2903</v>
      </c>
      <c r="B906" s="2" t="s">
        <v>2904</v>
      </c>
      <c r="C906" s="2" t="s">
        <v>2829</v>
      </c>
      <c r="D906" s="2" t="s">
        <v>1080</v>
      </c>
      <c r="E906" s="2" t="s">
        <v>2905</v>
      </c>
      <c r="F906" s="2" t="s">
        <v>120</v>
      </c>
      <c r="G906" s="8" t="s">
        <v>2906</v>
      </c>
      <c r="H906" s="2" t="s">
        <v>2907</v>
      </c>
      <c r="I906" s="1" t="s">
        <v>2676</v>
      </c>
      <c r="J906" s="1" t="s">
        <v>28</v>
      </c>
      <c r="K906" s="6" t="s">
        <v>40</v>
      </c>
      <c r="L906" s="1"/>
    </row>
    <row r="907" spans="1:12" ht="15.75" customHeight="1">
      <c r="A907" s="1" t="s">
        <v>2908</v>
      </c>
      <c r="B907" s="2" t="s">
        <v>2909</v>
      </c>
      <c r="C907" s="2" t="s">
        <v>2829</v>
      </c>
      <c r="D907" s="2" t="s">
        <v>1080</v>
      </c>
      <c r="E907" s="2" t="s">
        <v>2910</v>
      </c>
      <c r="F907" s="2" t="s">
        <v>24</v>
      </c>
      <c r="G907" s="8" t="s">
        <v>2911</v>
      </c>
      <c r="H907" s="2" t="s">
        <v>2912</v>
      </c>
      <c r="I907" s="1" t="s">
        <v>2743</v>
      </c>
      <c r="J907" s="1" t="s">
        <v>19</v>
      </c>
      <c r="K907" s="6" t="s">
        <v>40</v>
      </c>
      <c r="L907" s="1"/>
    </row>
    <row r="908" spans="1:12" ht="15.75" customHeight="1">
      <c r="A908" s="1" t="s">
        <v>2913</v>
      </c>
      <c r="B908" s="2" t="s">
        <v>2914</v>
      </c>
      <c r="C908" s="2" t="s">
        <v>2829</v>
      </c>
      <c r="D908" s="2" t="s">
        <v>1080</v>
      </c>
      <c r="E908" s="2" t="s">
        <v>2915</v>
      </c>
      <c r="F908" s="2" t="s">
        <v>120</v>
      </c>
      <c r="G908" s="8" t="s">
        <v>2916</v>
      </c>
      <c r="H908" s="4" t="s">
        <v>2917</v>
      </c>
      <c r="I908" s="1" t="s">
        <v>1816</v>
      </c>
      <c r="J908" s="1" t="s">
        <v>50</v>
      </c>
      <c r="K908" s="6" t="s">
        <v>40</v>
      </c>
      <c r="L908" s="1"/>
    </row>
    <row r="909" spans="1:12" ht="15.75" customHeight="1">
      <c r="A909" s="1" t="s">
        <v>2918</v>
      </c>
      <c r="B909" s="2" t="s">
        <v>2890</v>
      </c>
      <c r="C909" s="2" t="s">
        <v>2829</v>
      </c>
      <c r="D909" s="2" t="s">
        <v>1080</v>
      </c>
      <c r="E909" s="2" t="s">
        <v>2891</v>
      </c>
      <c r="F909" s="2" t="s">
        <v>120</v>
      </c>
      <c r="G909" s="8" t="s">
        <v>2892</v>
      </c>
      <c r="H909" s="2" t="s">
        <v>2919</v>
      </c>
      <c r="I909" s="1" t="s">
        <v>1816</v>
      </c>
      <c r="J909" s="1" t="s">
        <v>50</v>
      </c>
      <c r="K909" s="6" t="s">
        <v>40</v>
      </c>
      <c r="L909" s="1"/>
    </row>
    <row r="910" spans="1:12" ht="15.75" customHeight="1">
      <c r="A910" s="1" t="s">
        <v>2920</v>
      </c>
      <c r="B910" s="2" t="s">
        <v>2921</v>
      </c>
      <c r="C910" s="2" t="s">
        <v>2829</v>
      </c>
      <c r="D910" s="2" t="s">
        <v>1080</v>
      </c>
      <c r="E910" s="2" t="s">
        <v>2922</v>
      </c>
      <c r="F910" s="2" t="s">
        <v>89</v>
      </c>
      <c r="G910" s="8" t="s">
        <v>2923</v>
      </c>
      <c r="H910" s="2" t="s">
        <v>2924</v>
      </c>
      <c r="I910" s="1" t="s">
        <v>83</v>
      </c>
      <c r="J910" s="1" t="s">
        <v>35</v>
      </c>
      <c r="K910" s="6" t="s">
        <v>40</v>
      </c>
      <c r="L910" s="1"/>
    </row>
    <row r="911" spans="1:12" ht="15.75" customHeight="1">
      <c r="A911" s="1" t="s">
        <v>2925</v>
      </c>
      <c r="B911" s="2" t="s">
        <v>2926</v>
      </c>
      <c r="C911" s="2" t="s">
        <v>2829</v>
      </c>
      <c r="D911" s="2" t="s">
        <v>1080</v>
      </c>
      <c r="E911" s="2" t="s">
        <v>2927</v>
      </c>
      <c r="F911" s="2" t="s">
        <v>46</v>
      </c>
      <c r="G911" s="8" t="s">
        <v>2928</v>
      </c>
      <c r="H911" s="2" t="s">
        <v>2929</v>
      </c>
      <c r="I911" s="1" t="s">
        <v>2676</v>
      </c>
      <c r="J911" s="1" t="s">
        <v>28</v>
      </c>
      <c r="K911" s="6" t="s">
        <v>40</v>
      </c>
      <c r="L911" s="1"/>
    </row>
    <row r="912" spans="1:12" ht="15.75" customHeight="1">
      <c r="A912" s="1" t="s">
        <v>2930</v>
      </c>
      <c r="B912" s="2" t="s">
        <v>2890</v>
      </c>
      <c r="C912" s="2" t="s">
        <v>2829</v>
      </c>
      <c r="D912" s="2" t="s">
        <v>1080</v>
      </c>
      <c r="E912" s="2" t="s">
        <v>2891</v>
      </c>
      <c r="F912" s="2" t="s">
        <v>120</v>
      </c>
      <c r="G912" s="8" t="s">
        <v>2892</v>
      </c>
      <c r="H912" s="2" t="s">
        <v>2931</v>
      </c>
      <c r="I912" s="1" t="s">
        <v>2743</v>
      </c>
      <c r="J912" s="1" t="s">
        <v>19</v>
      </c>
      <c r="K912" s="6" t="s">
        <v>40</v>
      </c>
      <c r="L912" s="1"/>
    </row>
    <row r="913" spans="1:12" ht="15.75" customHeight="1">
      <c r="A913" s="1" t="s">
        <v>2932</v>
      </c>
      <c r="B913" s="2" t="s">
        <v>2844</v>
      </c>
      <c r="C913" s="2" t="s">
        <v>2829</v>
      </c>
      <c r="D913" s="2" t="s">
        <v>1080</v>
      </c>
      <c r="E913" s="2" t="s">
        <v>2845</v>
      </c>
      <c r="F913" s="2" t="s">
        <v>46</v>
      </c>
      <c r="G913" s="8" t="s">
        <v>2846</v>
      </c>
      <c r="H913" s="2" t="s">
        <v>2933</v>
      </c>
      <c r="I913" s="1" t="s">
        <v>83</v>
      </c>
      <c r="J913" s="1" t="s">
        <v>35</v>
      </c>
      <c r="K913" s="6" t="s">
        <v>144</v>
      </c>
      <c r="L913" s="6" t="s">
        <v>77</v>
      </c>
    </row>
    <row r="914" spans="1:12" ht="15.75" customHeight="1">
      <c r="A914" s="1" t="s">
        <v>2934</v>
      </c>
      <c r="B914" s="2" t="s">
        <v>2890</v>
      </c>
      <c r="C914" s="2" t="s">
        <v>2829</v>
      </c>
      <c r="D914" s="2" t="s">
        <v>1080</v>
      </c>
      <c r="E914" s="2" t="s">
        <v>2891</v>
      </c>
      <c r="F914" s="2" t="s">
        <v>120</v>
      </c>
      <c r="G914" s="8" t="s">
        <v>2892</v>
      </c>
      <c r="H914" s="2" t="s">
        <v>2935</v>
      </c>
      <c r="I914" s="1" t="s">
        <v>2676</v>
      </c>
      <c r="J914" s="1" t="s">
        <v>28</v>
      </c>
      <c r="K914" s="6" t="s">
        <v>40</v>
      </c>
      <c r="L914" s="1"/>
    </row>
    <row r="915" spans="1:12" ht="15.75" customHeight="1">
      <c r="A915" s="1" t="s">
        <v>2936</v>
      </c>
      <c r="B915" s="2" t="s">
        <v>2937</v>
      </c>
      <c r="C915" s="2" t="s">
        <v>2829</v>
      </c>
      <c r="D915" s="2" t="s">
        <v>1080</v>
      </c>
      <c r="E915" s="2" t="s">
        <v>2938</v>
      </c>
      <c r="F915" s="2" t="s">
        <v>24</v>
      </c>
      <c r="G915" s="8" t="s">
        <v>2939</v>
      </c>
      <c r="H915" s="2" t="s">
        <v>2940</v>
      </c>
      <c r="I915" s="1" t="s">
        <v>1816</v>
      </c>
      <c r="J915" s="1" t="s">
        <v>50</v>
      </c>
      <c r="K915" s="6" t="s">
        <v>40</v>
      </c>
      <c r="L915" s="1"/>
    </row>
    <row r="916" spans="1:12" ht="15.75" customHeight="1">
      <c r="A916" s="1" t="s">
        <v>2941</v>
      </c>
      <c r="B916" s="2" t="s">
        <v>2942</v>
      </c>
      <c r="C916" s="2" t="s">
        <v>2829</v>
      </c>
      <c r="D916" s="2" t="s">
        <v>1080</v>
      </c>
      <c r="E916" s="2" t="s">
        <v>2943</v>
      </c>
      <c r="F916" s="2" t="s">
        <v>180</v>
      </c>
      <c r="G916" s="8" t="s">
        <v>2944</v>
      </c>
      <c r="H916" s="2" t="s">
        <v>2945</v>
      </c>
      <c r="I916" s="1" t="s">
        <v>1816</v>
      </c>
      <c r="J916" s="1" t="s">
        <v>50</v>
      </c>
      <c r="K916" s="6" t="s">
        <v>40</v>
      </c>
      <c r="L916" s="1"/>
    </row>
    <row r="917" spans="1:12" ht="15.75" customHeight="1">
      <c r="A917" s="1" t="s">
        <v>2946</v>
      </c>
      <c r="B917" s="2" t="s">
        <v>2856</v>
      </c>
      <c r="C917" s="2" t="s">
        <v>2829</v>
      </c>
      <c r="D917" s="2" t="s">
        <v>1080</v>
      </c>
      <c r="E917" s="2" t="s">
        <v>2857</v>
      </c>
      <c r="F917" s="2" t="s">
        <v>180</v>
      </c>
      <c r="G917" s="8" t="s">
        <v>2858</v>
      </c>
      <c r="H917" s="2" t="s">
        <v>2947</v>
      </c>
      <c r="I917" s="1" t="s">
        <v>2743</v>
      </c>
      <c r="J917" s="1" t="s">
        <v>19</v>
      </c>
      <c r="K917" s="6" t="s">
        <v>40</v>
      </c>
      <c r="L917" s="1"/>
    </row>
    <row r="918" spans="1:12" ht="15.75" customHeight="1">
      <c r="A918" s="1" t="s">
        <v>2948</v>
      </c>
      <c r="B918" s="2" t="s">
        <v>2877</v>
      </c>
      <c r="C918" s="2" t="s">
        <v>2829</v>
      </c>
      <c r="D918" s="2" t="s">
        <v>1080</v>
      </c>
      <c r="E918" s="2" t="s">
        <v>2878</v>
      </c>
      <c r="F918" s="2" t="s">
        <v>46</v>
      </c>
      <c r="G918" s="8" t="s">
        <v>2879</v>
      </c>
      <c r="H918" s="4" t="s">
        <v>2949</v>
      </c>
      <c r="I918" s="1" t="s">
        <v>2950</v>
      </c>
      <c r="J918" s="1" t="s">
        <v>2951</v>
      </c>
      <c r="K918" s="6" t="s">
        <v>40</v>
      </c>
      <c r="L918" s="1"/>
    </row>
    <row r="919" spans="1:12" ht="15.75" customHeight="1">
      <c r="A919" s="1" t="s">
        <v>2952</v>
      </c>
      <c r="B919" s="2" t="s">
        <v>2870</v>
      </c>
      <c r="C919" s="2" t="s">
        <v>2829</v>
      </c>
      <c r="D919" s="2" t="s">
        <v>1080</v>
      </c>
      <c r="E919" s="2" t="s">
        <v>2871</v>
      </c>
      <c r="F919" s="2" t="s">
        <v>120</v>
      </c>
      <c r="G919" s="8" t="s">
        <v>2872</v>
      </c>
      <c r="H919" s="2" t="s">
        <v>2953</v>
      </c>
      <c r="I919" s="1" t="s">
        <v>1816</v>
      </c>
      <c r="J919" s="1" t="s">
        <v>50</v>
      </c>
      <c r="K919" s="6" t="s">
        <v>40</v>
      </c>
      <c r="L919" s="1"/>
    </row>
    <row r="920" spans="1:12" ht="15.75" customHeight="1">
      <c r="A920" s="1" t="s">
        <v>2954</v>
      </c>
      <c r="B920" s="2" t="s">
        <v>2839</v>
      </c>
      <c r="C920" s="2" t="s">
        <v>2829</v>
      </c>
      <c r="D920" s="2" t="s">
        <v>1080</v>
      </c>
      <c r="E920" s="2" t="s">
        <v>2840</v>
      </c>
      <c r="F920" s="2" t="s">
        <v>120</v>
      </c>
      <c r="G920" s="8" t="s">
        <v>2841</v>
      </c>
      <c r="H920" s="2" t="s">
        <v>2955</v>
      </c>
      <c r="I920" s="1" t="s">
        <v>2743</v>
      </c>
      <c r="J920" s="1" t="s">
        <v>19</v>
      </c>
      <c r="K920" s="6" t="s">
        <v>40</v>
      </c>
      <c r="L920" s="1"/>
    </row>
    <row r="921" spans="1:12" ht="15.75" customHeight="1">
      <c r="A921" s="1" t="s">
        <v>2956</v>
      </c>
      <c r="B921" s="2" t="s">
        <v>2839</v>
      </c>
      <c r="C921" s="2" t="s">
        <v>2829</v>
      </c>
      <c r="D921" s="2" t="s">
        <v>1080</v>
      </c>
      <c r="E921" s="2" t="s">
        <v>2840</v>
      </c>
      <c r="F921" s="2" t="s">
        <v>120</v>
      </c>
      <c r="G921" s="8" t="s">
        <v>2841</v>
      </c>
      <c r="H921" s="2" t="s">
        <v>2957</v>
      </c>
      <c r="I921" s="1" t="s">
        <v>2676</v>
      </c>
      <c r="J921" s="1" t="s">
        <v>28</v>
      </c>
      <c r="K921" s="6" t="s">
        <v>40</v>
      </c>
      <c r="L921" s="1"/>
    </row>
    <row r="922" spans="1:12" ht="15.75" customHeight="1">
      <c r="A922" s="1" t="s">
        <v>2958</v>
      </c>
      <c r="B922" s="2" t="s">
        <v>2844</v>
      </c>
      <c r="C922" s="2" t="s">
        <v>2829</v>
      </c>
      <c r="D922" s="2" t="s">
        <v>1080</v>
      </c>
      <c r="E922" s="2" t="s">
        <v>2845</v>
      </c>
      <c r="F922" s="2" t="s">
        <v>46</v>
      </c>
      <c r="G922" s="8" t="s">
        <v>2846</v>
      </c>
      <c r="H922" s="2" t="s">
        <v>2959</v>
      </c>
      <c r="I922" s="1" t="s">
        <v>83</v>
      </c>
      <c r="J922" s="1" t="s">
        <v>35</v>
      </c>
      <c r="K922" s="6" t="s">
        <v>40</v>
      </c>
      <c r="L922" s="1"/>
    </row>
    <row r="923" spans="1:12" ht="15.75" customHeight="1">
      <c r="A923" s="1" t="s">
        <v>2960</v>
      </c>
      <c r="B923" s="2" t="s">
        <v>2961</v>
      </c>
      <c r="C923" s="2" t="s">
        <v>2829</v>
      </c>
      <c r="D923" s="2" t="s">
        <v>1080</v>
      </c>
      <c r="E923" s="2" t="s">
        <v>2962</v>
      </c>
      <c r="F923" s="2" t="s">
        <v>46</v>
      </c>
      <c r="G923" s="8" t="s">
        <v>2963</v>
      </c>
      <c r="H923" s="2" t="s">
        <v>2964</v>
      </c>
      <c r="I923" s="1" t="s">
        <v>2743</v>
      </c>
      <c r="J923" s="1" t="s">
        <v>19</v>
      </c>
      <c r="K923" s="6" t="s">
        <v>40</v>
      </c>
      <c r="L923" s="1"/>
    </row>
    <row r="924" spans="1:12" ht="15.75" customHeight="1">
      <c r="A924" s="1" t="s">
        <v>2965</v>
      </c>
      <c r="B924" s="2" t="s">
        <v>2921</v>
      </c>
      <c r="C924" s="2" t="s">
        <v>2829</v>
      </c>
      <c r="D924" s="2" t="s">
        <v>1080</v>
      </c>
      <c r="E924" s="2" t="s">
        <v>2922</v>
      </c>
      <c r="F924" s="2" t="s">
        <v>89</v>
      </c>
      <c r="G924" s="8" t="s">
        <v>2923</v>
      </c>
      <c r="H924" s="2" t="s">
        <v>2966</v>
      </c>
      <c r="I924" s="1" t="s">
        <v>83</v>
      </c>
      <c r="J924" s="1" t="s">
        <v>35</v>
      </c>
      <c r="K924" s="6" t="s">
        <v>40</v>
      </c>
      <c r="L924" s="1"/>
    </row>
    <row r="925" spans="1:12" ht="15.75" customHeight="1">
      <c r="A925" s="1" t="s">
        <v>2967</v>
      </c>
      <c r="B925" s="2" t="s">
        <v>2844</v>
      </c>
      <c r="C925" s="2" t="s">
        <v>2829</v>
      </c>
      <c r="D925" s="2" t="s">
        <v>1080</v>
      </c>
      <c r="E925" s="2" t="s">
        <v>2845</v>
      </c>
      <c r="F925" s="2" t="s">
        <v>46</v>
      </c>
      <c r="G925" s="8" t="s">
        <v>2846</v>
      </c>
      <c r="H925" s="2" t="s">
        <v>2968</v>
      </c>
      <c r="I925" s="1" t="s">
        <v>83</v>
      </c>
      <c r="J925" s="1" t="s">
        <v>35</v>
      </c>
      <c r="K925" s="6" t="s">
        <v>40</v>
      </c>
      <c r="L925" s="1"/>
    </row>
    <row r="926" spans="1:12" ht="15.75" customHeight="1">
      <c r="A926" s="1" t="s">
        <v>2969</v>
      </c>
      <c r="B926" s="2" t="s">
        <v>2904</v>
      </c>
      <c r="C926" s="2" t="s">
        <v>2829</v>
      </c>
      <c r="D926" s="2" t="s">
        <v>1080</v>
      </c>
      <c r="E926" s="2" t="s">
        <v>2905</v>
      </c>
      <c r="F926" s="2" t="s">
        <v>120</v>
      </c>
      <c r="G926" s="8" t="s">
        <v>2906</v>
      </c>
      <c r="H926" s="2" t="s">
        <v>2970</v>
      </c>
      <c r="I926" s="1" t="s">
        <v>83</v>
      </c>
      <c r="J926" s="1" t="s">
        <v>35</v>
      </c>
      <c r="K926" s="6" t="s">
        <v>40</v>
      </c>
      <c r="L926" s="1"/>
    </row>
    <row r="927" spans="1:12" ht="15.75" customHeight="1">
      <c r="A927" s="1" t="s">
        <v>2971</v>
      </c>
      <c r="B927" s="2" t="s">
        <v>2877</v>
      </c>
      <c r="C927" s="2" t="s">
        <v>2829</v>
      </c>
      <c r="D927" s="2" t="s">
        <v>1080</v>
      </c>
      <c r="E927" s="2" t="s">
        <v>2878</v>
      </c>
      <c r="F927" s="2" t="s">
        <v>46</v>
      </c>
      <c r="G927" s="8" t="s">
        <v>2879</v>
      </c>
      <c r="H927" s="2" t="s">
        <v>2972</v>
      </c>
      <c r="I927" s="1" t="s">
        <v>77</v>
      </c>
      <c r="J927" s="1" t="s">
        <v>78</v>
      </c>
      <c r="K927" s="6" t="s">
        <v>40</v>
      </c>
      <c r="L927" s="1"/>
    </row>
    <row r="928" spans="1:12" ht="15.75" customHeight="1">
      <c r="A928" s="1" t="s">
        <v>2973</v>
      </c>
      <c r="B928" s="2" t="s">
        <v>2861</v>
      </c>
      <c r="C928" s="2" t="s">
        <v>2829</v>
      </c>
      <c r="D928" s="2" t="s">
        <v>1080</v>
      </c>
      <c r="E928" s="2" t="s">
        <v>2862</v>
      </c>
      <c r="F928" s="2" t="s">
        <v>120</v>
      </c>
      <c r="G928" s="8" t="s">
        <v>2863</v>
      </c>
      <c r="H928" s="2" t="s">
        <v>2974</v>
      </c>
      <c r="I928" s="1" t="s">
        <v>2676</v>
      </c>
      <c r="J928" s="1" t="s">
        <v>28</v>
      </c>
      <c r="K928" s="6" t="s">
        <v>40</v>
      </c>
      <c r="L928" s="1"/>
    </row>
    <row r="929" spans="1:12" ht="15.75" customHeight="1">
      <c r="A929" s="1" t="s">
        <v>2975</v>
      </c>
      <c r="B929" s="2" t="s">
        <v>2890</v>
      </c>
      <c r="C929" s="2" t="s">
        <v>2829</v>
      </c>
      <c r="D929" s="2" t="s">
        <v>1080</v>
      </c>
      <c r="E929" s="2" t="s">
        <v>2891</v>
      </c>
      <c r="F929" s="2" t="s">
        <v>120</v>
      </c>
      <c r="G929" s="8" t="s">
        <v>2892</v>
      </c>
      <c r="H929" s="2" t="s">
        <v>2976</v>
      </c>
      <c r="I929" s="1" t="s">
        <v>83</v>
      </c>
      <c r="J929" s="1" t="s">
        <v>35</v>
      </c>
      <c r="K929" s="6" t="s">
        <v>40</v>
      </c>
      <c r="L929" s="1"/>
    </row>
    <row r="930" spans="1:12" ht="15.75" customHeight="1">
      <c r="A930" s="1" t="s">
        <v>2977</v>
      </c>
      <c r="B930" s="2" t="s">
        <v>2844</v>
      </c>
      <c r="C930" s="2" t="s">
        <v>2829</v>
      </c>
      <c r="D930" s="2" t="s">
        <v>1080</v>
      </c>
      <c r="E930" s="2" t="s">
        <v>2845</v>
      </c>
      <c r="F930" s="2" t="s">
        <v>46</v>
      </c>
      <c r="G930" s="8" t="s">
        <v>2846</v>
      </c>
      <c r="H930" s="2" t="s">
        <v>2978</v>
      </c>
      <c r="I930" s="1" t="s">
        <v>83</v>
      </c>
      <c r="J930" s="1" t="s">
        <v>35</v>
      </c>
      <c r="K930" s="6" t="s">
        <v>40</v>
      </c>
      <c r="L930" s="1"/>
    </row>
    <row r="931" spans="1:12" ht="15.75" customHeight="1">
      <c r="A931" s="1" t="s">
        <v>2979</v>
      </c>
      <c r="B931" s="2" t="s">
        <v>2890</v>
      </c>
      <c r="C931" s="2" t="s">
        <v>2829</v>
      </c>
      <c r="D931" s="2" t="s">
        <v>1080</v>
      </c>
      <c r="E931" s="2" t="s">
        <v>2891</v>
      </c>
      <c r="F931" s="2" t="s">
        <v>120</v>
      </c>
      <c r="G931" s="8" t="s">
        <v>2892</v>
      </c>
      <c r="H931" s="2" t="s">
        <v>2980</v>
      </c>
      <c r="I931" s="1" t="s">
        <v>2676</v>
      </c>
      <c r="J931" s="1" t="s">
        <v>28</v>
      </c>
      <c r="K931" s="6" t="s">
        <v>40</v>
      </c>
      <c r="L931" s="1"/>
    </row>
    <row r="932" spans="1:12" ht="15.75" customHeight="1">
      <c r="A932" s="1" t="s">
        <v>2981</v>
      </c>
      <c r="B932" s="2" t="s">
        <v>2844</v>
      </c>
      <c r="C932" s="2" t="s">
        <v>2829</v>
      </c>
      <c r="D932" s="2" t="s">
        <v>1080</v>
      </c>
      <c r="E932" s="2" t="s">
        <v>2845</v>
      </c>
      <c r="F932" s="2" t="s">
        <v>46</v>
      </c>
      <c r="G932" s="8" t="s">
        <v>2846</v>
      </c>
      <c r="H932" s="2" t="s">
        <v>2982</v>
      </c>
      <c r="I932" s="1" t="s">
        <v>83</v>
      </c>
      <c r="J932" s="1" t="s">
        <v>35</v>
      </c>
      <c r="K932" s="6" t="s">
        <v>40</v>
      </c>
      <c r="L932" s="1"/>
    </row>
    <row r="933" spans="1:12" ht="15.75" customHeight="1">
      <c r="A933" s="1" t="s">
        <v>2983</v>
      </c>
      <c r="B933" s="2" t="s">
        <v>2926</v>
      </c>
      <c r="C933" s="2" t="s">
        <v>2829</v>
      </c>
      <c r="D933" s="2" t="s">
        <v>1080</v>
      </c>
      <c r="E933" s="2" t="s">
        <v>2927</v>
      </c>
      <c r="F933" s="2" t="s">
        <v>46</v>
      </c>
      <c r="G933" s="8" t="s">
        <v>2928</v>
      </c>
      <c r="H933" s="2" t="s">
        <v>2984</v>
      </c>
      <c r="I933" s="1" t="s">
        <v>2676</v>
      </c>
      <c r="J933" s="1" t="s">
        <v>28</v>
      </c>
      <c r="K933" s="6" t="s">
        <v>40</v>
      </c>
      <c r="L933" s="1"/>
    </row>
    <row r="934" spans="1:12" ht="15.75" customHeight="1">
      <c r="A934" s="1" t="s">
        <v>2985</v>
      </c>
      <c r="B934" s="2" t="s">
        <v>2921</v>
      </c>
      <c r="C934" s="2" t="s">
        <v>2829</v>
      </c>
      <c r="D934" s="2" t="s">
        <v>1080</v>
      </c>
      <c r="E934" s="2" t="s">
        <v>2922</v>
      </c>
      <c r="F934" s="2" t="s">
        <v>89</v>
      </c>
      <c r="G934" s="8" t="s">
        <v>2923</v>
      </c>
      <c r="H934" s="2" t="s">
        <v>2986</v>
      </c>
      <c r="I934" s="1" t="s">
        <v>77</v>
      </c>
      <c r="J934" s="1" t="s">
        <v>78</v>
      </c>
      <c r="K934" s="6" t="s">
        <v>40</v>
      </c>
      <c r="L934" s="1"/>
    </row>
    <row r="935" spans="1:12" ht="15.75" customHeight="1">
      <c r="A935" s="1" t="s">
        <v>2987</v>
      </c>
      <c r="B935" s="2" t="s">
        <v>2828</v>
      </c>
      <c r="C935" s="2" t="s">
        <v>2829</v>
      </c>
      <c r="D935" s="2" t="s">
        <v>1080</v>
      </c>
      <c r="E935" s="2" t="s">
        <v>2830</v>
      </c>
      <c r="F935" s="2" t="s">
        <v>46</v>
      </c>
      <c r="G935" s="8" t="s">
        <v>2831</v>
      </c>
      <c r="H935" s="2" t="s">
        <v>2988</v>
      </c>
      <c r="I935" s="1" t="s">
        <v>2676</v>
      </c>
      <c r="J935" s="1" t="s">
        <v>28</v>
      </c>
      <c r="K935" s="6" t="s">
        <v>40</v>
      </c>
      <c r="L935" s="1"/>
    </row>
    <row r="936" spans="1:12" ht="15.75" customHeight="1">
      <c r="A936" s="1" t="s">
        <v>2989</v>
      </c>
      <c r="B936" s="2" t="s">
        <v>2844</v>
      </c>
      <c r="C936" s="2" t="s">
        <v>2829</v>
      </c>
      <c r="D936" s="2" t="s">
        <v>1080</v>
      </c>
      <c r="E936" s="2" t="s">
        <v>2845</v>
      </c>
      <c r="F936" s="2" t="s">
        <v>46</v>
      </c>
      <c r="G936" s="8" t="s">
        <v>2846</v>
      </c>
      <c r="H936" s="2" t="s">
        <v>2990</v>
      </c>
      <c r="I936" s="1" t="s">
        <v>83</v>
      </c>
      <c r="J936" s="1" t="s">
        <v>35</v>
      </c>
      <c r="K936" s="6" t="s">
        <v>40</v>
      </c>
      <c r="L936" s="1"/>
    </row>
    <row r="937" spans="1:12" ht="15.75" customHeight="1">
      <c r="A937" s="1" t="s">
        <v>2991</v>
      </c>
      <c r="B937" s="2" t="s">
        <v>2992</v>
      </c>
      <c r="C937" s="2" t="s">
        <v>2829</v>
      </c>
      <c r="D937" s="2" t="s">
        <v>1080</v>
      </c>
      <c r="E937" s="2" t="s">
        <v>2993</v>
      </c>
      <c r="F937" s="2" t="s">
        <v>89</v>
      </c>
      <c r="G937" s="8" t="s">
        <v>2994</v>
      </c>
      <c r="H937" s="2" t="s">
        <v>2995</v>
      </c>
      <c r="I937" s="1" t="s">
        <v>77</v>
      </c>
      <c r="J937" s="1" t="s">
        <v>78</v>
      </c>
      <c r="K937" s="6" t="s">
        <v>40</v>
      </c>
      <c r="L937" s="1"/>
    </row>
    <row r="938" spans="1:12" ht="15.75" customHeight="1">
      <c r="A938" s="1" t="s">
        <v>2996</v>
      </c>
      <c r="B938" s="2" t="s">
        <v>2890</v>
      </c>
      <c r="C938" s="2" t="s">
        <v>2829</v>
      </c>
      <c r="D938" s="2" t="s">
        <v>1080</v>
      </c>
      <c r="E938" s="2" t="s">
        <v>2891</v>
      </c>
      <c r="F938" s="2" t="s">
        <v>120</v>
      </c>
      <c r="G938" s="8" t="s">
        <v>2892</v>
      </c>
      <c r="H938" s="2" t="s">
        <v>2997</v>
      </c>
      <c r="I938" s="1" t="s">
        <v>2743</v>
      </c>
      <c r="J938" s="1" t="s">
        <v>19</v>
      </c>
      <c r="K938" s="6" t="s">
        <v>40</v>
      </c>
      <c r="L938" s="1"/>
    </row>
    <row r="939" spans="1:12" ht="15.75" customHeight="1">
      <c r="A939" s="1" t="s">
        <v>2998</v>
      </c>
      <c r="B939" s="2" t="s">
        <v>2999</v>
      </c>
      <c r="C939" s="2" t="s">
        <v>2829</v>
      </c>
      <c r="D939" s="2" t="s">
        <v>1080</v>
      </c>
      <c r="E939" s="2" t="s">
        <v>3000</v>
      </c>
      <c r="F939" s="2" t="s">
        <v>120</v>
      </c>
      <c r="G939" s="2" t="s">
        <v>3001</v>
      </c>
      <c r="H939" s="2" t="s">
        <v>3002</v>
      </c>
      <c r="I939" s="1" t="s">
        <v>1816</v>
      </c>
      <c r="J939" s="1" t="s">
        <v>50</v>
      </c>
      <c r="K939" s="6" t="s">
        <v>40</v>
      </c>
      <c r="L939" s="1"/>
    </row>
    <row r="940" spans="1:12" ht="15.75" customHeight="1">
      <c r="A940" s="1" t="s">
        <v>3003</v>
      </c>
      <c r="B940" s="2" t="s">
        <v>2914</v>
      </c>
      <c r="C940" s="2" t="s">
        <v>2829</v>
      </c>
      <c r="D940" s="2" t="s">
        <v>1080</v>
      </c>
      <c r="E940" s="2" t="s">
        <v>2915</v>
      </c>
      <c r="F940" s="2" t="s">
        <v>120</v>
      </c>
      <c r="G940" s="2" t="s">
        <v>2916</v>
      </c>
      <c r="H940" s="2" t="s">
        <v>3004</v>
      </c>
      <c r="I940" s="1" t="s">
        <v>1816</v>
      </c>
      <c r="J940" s="1" t="s">
        <v>50</v>
      </c>
      <c r="K940" s="6" t="s">
        <v>40</v>
      </c>
      <c r="L940" s="1"/>
    </row>
    <row r="941" spans="1:12" ht="15.75" customHeight="1">
      <c r="A941" s="1" t="s">
        <v>3005</v>
      </c>
      <c r="B941" s="2" t="s">
        <v>2851</v>
      </c>
      <c r="C941" s="2" t="s">
        <v>2829</v>
      </c>
      <c r="D941" s="2" t="s">
        <v>1080</v>
      </c>
      <c r="E941" s="2" t="s">
        <v>2852</v>
      </c>
      <c r="F941" s="2" t="s">
        <v>126</v>
      </c>
      <c r="G941" s="2" t="s">
        <v>2853</v>
      </c>
      <c r="H941" s="2" t="s">
        <v>3006</v>
      </c>
      <c r="I941" s="1" t="s">
        <v>1816</v>
      </c>
      <c r="J941" s="1" t="s">
        <v>50</v>
      </c>
      <c r="K941" s="6" t="s">
        <v>40</v>
      </c>
      <c r="L941" s="1"/>
    </row>
    <row r="942" spans="1:12" ht="15.75" customHeight="1">
      <c r="A942" s="1" t="s">
        <v>3007</v>
      </c>
      <c r="B942" s="2" t="s">
        <v>3008</v>
      </c>
      <c r="C942" s="2" t="s">
        <v>3009</v>
      </c>
      <c r="D942" s="2" t="s">
        <v>112</v>
      </c>
      <c r="E942" s="2" t="s">
        <v>3010</v>
      </c>
      <c r="F942" s="2" t="s">
        <v>89</v>
      </c>
      <c r="G942" s="2" t="s">
        <v>3011</v>
      </c>
      <c r="H942" s="2" t="s">
        <v>3012</v>
      </c>
      <c r="I942" s="1" t="s">
        <v>3013</v>
      </c>
      <c r="J942" s="1" t="s">
        <v>50</v>
      </c>
      <c r="K942" s="6" t="s">
        <v>40</v>
      </c>
      <c r="L942" s="1"/>
    </row>
    <row r="943" spans="1:12" ht="15.75" customHeight="1">
      <c r="A943" s="1" t="s">
        <v>3014</v>
      </c>
      <c r="B943" s="2" t="s">
        <v>3015</v>
      </c>
      <c r="C943" s="2" t="s">
        <v>3009</v>
      </c>
      <c r="D943" s="2" t="s">
        <v>112</v>
      </c>
      <c r="E943" s="2" t="s">
        <v>3016</v>
      </c>
      <c r="F943" s="2" t="s">
        <v>126</v>
      </c>
      <c r="G943" s="2" t="s">
        <v>3017</v>
      </c>
      <c r="H943" s="2" t="s">
        <v>3018</v>
      </c>
      <c r="I943" s="1" t="s">
        <v>18</v>
      </c>
      <c r="J943" s="1" t="s">
        <v>19</v>
      </c>
      <c r="K943" s="6" t="s">
        <v>40</v>
      </c>
      <c r="L943" s="1"/>
    </row>
    <row r="944" spans="1:12" ht="15.75" customHeight="1">
      <c r="A944" s="1" t="s">
        <v>3019</v>
      </c>
      <c r="B944" s="2" t="s">
        <v>3015</v>
      </c>
      <c r="C944" s="2" t="s">
        <v>3009</v>
      </c>
      <c r="D944" s="2" t="s">
        <v>112</v>
      </c>
      <c r="E944" s="2" t="s">
        <v>3016</v>
      </c>
      <c r="F944" s="2" t="s">
        <v>126</v>
      </c>
      <c r="G944" s="2" t="s">
        <v>3017</v>
      </c>
      <c r="H944" s="2" t="s">
        <v>3020</v>
      </c>
      <c r="I944" s="1" t="s">
        <v>18</v>
      </c>
      <c r="J944" s="1" t="s">
        <v>19</v>
      </c>
      <c r="K944" s="6" t="s">
        <v>40</v>
      </c>
      <c r="L944" s="1"/>
    </row>
    <row r="945" spans="1:12" ht="15.75" customHeight="1">
      <c r="A945" s="1" t="s">
        <v>3021</v>
      </c>
      <c r="B945" s="2" t="s">
        <v>3022</v>
      </c>
      <c r="C945" s="2" t="s">
        <v>3023</v>
      </c>
      <c r="D945" s="2" t="s">
        <v>112</v>
      </c>
      <c r="E945" s="2" t="s">
        <v>3024</v>
      </c>
      <c r="F945" s="2" t="s">
        <v>120</v>
      </c>
      <c r="G945" s="2" t="s">
        <v>3025</v>
      </c>
      <c r="H945" s="2" t="s">
        <v>3026</v>
      </c>
      <c r="I945" s="1" t="s">
        <v>116</v>
      </c>
      <c r="J945" s="1" t="s">
        <v>19</v>
      </c>
      <c r="K945" s="6" t="s">
        <v>40</v>
      </c>
      <c r="L945" s="1"/>
    </row>
    <row r="946" spans="1:12" ht="15.75" customHeight="1">
      <c r="A946" s="1" t="s">
        <v>3027</v>
      </c>
      <c r="B946" s="2" t="s">
        <v>3028</v>
      </c>
      <c r="C946" s="2" t="s">
        <v>3023</v>
      </c>
      <c r="D946" s="2" t="s">
        <v>1215</v>
      </c>
      <c r="E946" s="2" t="s">
        <v>3029</v>
      </c>
      <c r="F946" s="2" t="s">
        <v>46</v>
      </c>
      <c r="G946" s="2" t="s">
        <v>3030</v>
      </c>
      <c r="H946" s="2" t="s">
        <v>3031</v>
      </c>
      <c r="I946" s="1" t="s">
        <v>1297</v>
      </c>
      <c r="J946" s="1" t="s">
        <v>50</v>
      </c>
      <c r="K946" s="6" t="s">
        <v>40</v>
      </c>
      <c r="L946" s="1"/>
    </row>
    <row r="947" spans="1:12" ht="15.75" customHeight="1">
      <c r="A947" s="1" t="s">
        <v>3032</v>
      </c>
      <c r="B947" s="2" t="s">
        <v>3022</v>
      </c>
      <c r="C947" s="2" t="s">
        <v>3023</v>
      </c>
      <c r="D947" s="2" t="s">
        <v>112</v>
      </c>
      <c r="E947" s="2" t="s">
        <v>3024</v>
      </c>
      <c r="F947" s="2" t="s">
        <v>120</v>
      </c>
      <c r="G947" s="2" t="s">
        <v>3025</v>
      </c>
      <c r="H947" s="2" t="s">
        <v>3033</v>
      </c>
      <c r="I947" s="1" t="s">
        <v>116</v>
      </c>
      <c r="J947" s="1" t="s">
        <v>19</v>
      </c>
      <c r="K947" s="6" t="s">
        <v>40</v>
      </c>
      <c r="L947" s="1"/>
    </row>
    <row r="948" spans="1:12" ht="15.75" customHeight="1">
      <c r="A948" s="1" t="s">
        <v>3034</v>
      </c>
      <c r="B948" s="2" t="s">
        <v>3022</v>
      </c>
      <c r="C948" s="2" t="s">
        <v>3023</v>
      </c>
      <c r="D948" s="2" t="s">
        <v>112</v>
      </c>
      <c r="E948" s="2" t="s">
        <v>3024</v>
      </c>
      <c r="F948" s="2" t="s">
        <v>120</v>
      </c>
      <c r="G948" s="2" t="s">
        <v>3025</v>
      </c>
      <c r="H948" s="2" t="s">
        <v>3035</v>
      </c>
      <c r="I948" s="1" t="s">
        <v>116</v>
      </c>
      <c r="J948" s="1" t="s">
        <v>19</v>
      </c>
      <c r="K948" s="6" t="s">
        <v>40</v>
      </c>
      <c r="L948" s="1"/>
    </row>
    <row r="949" spans="1:12" ht="15.75" customHeight="1">
      <c r="A949" s="1" t="s">
        <v>3036</v>
      </c>
      <c r="B949" s="2" t="s">
        <v>3022</v>
      </c>
      <c r="C949" s="2" t="s">
        <v>3023</v>
      </c>
      <c r="D949" s="2" t="s">
        <v>112</v>
      </c>
      <c r="E949" s="2" t="s">
        <v>3024</v>
      </c>
      <c r="F949" s="2" t="s">
        <v>120</v>
      </c>
      <c r="G949" s="2" t="s">
        <v>3025</v>
      </c>
      <c r="H949" s="2" t="s">
        <v>3037</v>
      </c>
      <c r="I949" s="1" t="s">
        <v>116</v>
      </c>
      <c r="J949" s="1" t="s">
        <v>19</v>
      </c>
      <c r="K949" s="6" t="s">
        <v>40</v>
      </c>
      <c r="L949" s="1"/>
    </row>
    <row r="950" spans="1:12" ht="15.75" customHeight="1">
      <c r="A950" s="1" t="s">
        <v>3038</v>
      </c>
      <c r="B950" s="2" t="s">
        <v>3039</v>
      </c>
      <c r="C950" s="2" t="s">
        <v>3023</v>
      </c>
      <c r="D950" s="2" t="s">
        <v>1080</v>
      </c>
      <c r="E950" s="2" t="s">
        <v>3040</v>
      </c>
      <c r="F950" s="2" t="s">
        <v>157</v>
      </c>
      <c r="G950" s="2" t="s">
        <v>3041</v>
      </c>
      <c r="H950" s="4" t="s">
        <v>3042</v>
      </c>
      <c r="I950" s="1" t="s">
        <v>34</v>
      </c>
      <c r="J950" s="1" t="s">
        <v>35</v>
      </c>
      <c r="K950" s="6" t="s">
        <v>40</v>
      </c>
      <c r="L950" s="1"/>
    </row>
    <row r="951" spans="1:12" ht="15.75" customHeight="1">
      <c r="A951" s="1" t="s">
        <v>3043</v>
      </c>
      <c r="B951" s="2" t="s">
        <v>3044</v>
      </c>
      <c r="C951" s="2" t="s">
        <v>3023</v>
      </c>
      <c r="D951" s="2" t="s">
        <v>2807</v>
      </c>
      <c r="E951" s="2" t="s">
        <v>3045</v>
      </c>
      <c r="F951" s="2" t="s">
        <v>61</v>
      </c>
      <c r="G951" s="2" t="s">
        <v>3046</v>
      </c>
      <c r="H951" s="2" t="s">
        <v>3047</v>
      </c>
      <c r="I951" s="1" t="s">
        <v>100</v>
      </c>
      <c r="J951" s="1" t="s">
        <v>78</v>
      </c>
      <c r="K951" s="6" t="s">
        <v>40</v>
      </c>
      <c r="L951" s="1"/>
    </row>
    <row r="952" spans="1:12" ht="15.75" customHeight="1">
      <c r="A952" s="1" t="s">
        <v>3048</v>
      </c>
      <c r="B952" s="2" t="s">
        <v>3044</v>
      </c>
      <c r="C952" s="2" t="s">
        <v>3023</v>
      </c>
      <c r="D952" s="2" t="s">
        <v>2807</v>
      </c>
      <c r="E952" s="2" t="s">
        <v>3045</v>
      </c>
      <c r="F952" s="2" t="s">
        <v>61</v>
      </c>
      <c r="G952" s="2" t="s">
        <v>3046</v>
      </c>
      <c r="H952" s="2" t="s">
        <v>3049</v>
      </c>
      <c r="I952" s="1" t="s">
        <v>3050</v>
      </c>
      <c r="J952" s="1" t="s">
        <v>50</v>
      </c>
      <c r="K952" s="6" t="s">
        <v>40</v>
      </c>
      <c r="L952" s="1"/>
    </row>
    <row r="953" spans="1:12" ht="15.75" customHeight="1">
      <c r="A953" s="1" t="s">
        <v>3051</v>
      </c>
      <c r="B953" s="2" t="s">
        <v>3044</v>
      </c>
      <c r="C953" s="2" t="s">
        <v>3023</v>
      </c>
      <c r="D953" s="2" t="s">
        <v>2807</v>
      </c>
      <c r="E953" s="2" t="s">
        <v>3045</v>
      </c>
      <c r="F953" s="2" t="s">
        <v>61</v>
      </c>
      <c r="G953" s="2" t="s">
        <v>3046</v>
      </c>
      <c r="H953" s="2" t="s">
        <v>3052</v>
      </c>
      <c r="I953" s="1" t="s">
        <v>3050</v>
      </c>
      <c r="J953" s="1" t="s">
        <v>50</v>
      </c>
      <c r="K953" s="6" t="s">
        <v>40</v>
      </c>
      <c r="L953" s="1"/>
    </row>
    <row r="954" spans="1:12" ht="15.75" customHeight="1">
      <c r="A954" s="1" t="s">
        <v>3053</v>
      </c>
      <c r="B954" s="2" t="s">
        <v>3028</v>
      </c>
      <c r="C954" s="2" t="s">
        <v>3023</v>
      </c>
      <c r="D954" s="2" t="s">
        <v>1215</v>
      </c>
      <c r="E954" s="2" t="s">
        <v>3029</v>
      </c>
      <c r="F954" s="2" t="s">
        <v>46</v>
      </c>
      <c r="G954" s="2" t="s">
        <v>3030</v>
      </c>
      <c r="H954" s="2" t="s">
        <v>3054</v>
      </c>
      <c r="I954" s="1" t="s">
        <v>116</v>
      </c>
      <c r="J954" s="1" t="s">
        <v>19</v>
      </c>
      <c r="K954" s="6" t="s">
        <v>40</v>
      </c>
      <c r="L954" s="1"/>
    </row>
    <row r="955" spans="1:12" ht="15.75" customHeight="1">
      <c r="A955" s="1" t="s">
        <v>3055</v>
      </c>
      <c r="B955" s="2" t="s">
        <v>3044</v>
      </c>
      <c r="C955" s="2" t="s">
        <v>3023</v>
      </c>
      <c r="D955" s="2" t="s">
        <v>2807</v>
      </c>
      <c r="E955" s="2" t="s">
        <v>3045</v>
      </c>
      <c r="F955" s="2" t="s">
        <v>61</v>
      </c>
      <c r="G955" s="2" t="s">
        <v>3046</v>
      </c>
      <c r="H955" s="2" t="s">
        <v>3056</v>
      </c>
      <c r="I955" s="1" t="s">
        <v>1297</v>
      </c>
      <c r="J955" s="1" t="s">
        <v>50</v>
      </c>
      <c r="K955" s="6" t="s">
        <v>40</v>
      </c>
      <c r="L955" s="1"/>
    </row>
    <row r="956" spans="1:12" ht="15.75" customHeight="1">
      <c r="A956" s="1" t="s">
        <v>3057</v>
      </c>
      <c r="B956" s="2" t="s">
        <v>3058</v>
      </c>
      <c r="C956" s="2" t="s">
        <v>3023</v>
      </c>
      <c r="D956" s="2" t="s">
        <v>3059</v>
      </c>
      <c r="E956" s="2" t="s">
        <v>3060</v>
      </c>
      <c r="F956" s="2" t="s">
        <v>120</v>
      </c>
      <c r="G956" s="2" t="s">
        <v>3061</v>
      </c>
      <c r="H956" s="2" t="s">
        <v>3062</v>
      </c>
      <c r="I956" s="1" t="s">
        <v>1297</v>
      </c>
      <c r="J956" s="1" t="s">
        <v>50</v>
      </c>
      <c r="K956" s="6" t="s">
        <v>40</v>
      </c>
      <c r="L956" s="1"/>
    </row>
    <row r="957" spans="1:12" ht="15.75" customHeight="1">
      <c r="A957" s="1" t="s">
        <v>3063</v>
      </c>
      <c r="B957" s="2" t="s">
        <v>3058</v>
      </c>
      <c r="C957" s="2" t="s">
        <v>3023</v>
      </c>
      <c r="D957" s="2" t="s">
        <v>3059</v>
      </c>
      <c r="E957" s="2" t="s">
        <v>3060</v>
      </c>
      <c r="F957" s="2" t="s">
        <v>120</v>
      </c>
      <c r="G957" s="2" t="s">
        <v>3061</v>
      </c>
      <c r="H957" s="2" t="s">
        <v>3064</v>
      </c>
      <c r="I957" s="1" t="s">
        <v>1297</v>
      </c>
      <c r="J957" s="1" t="s">
        <v>50</v>
      </c>
      <c r="K957" s="6" t="s">
        <v>40</v>
      </c>
      <c r="L957" s="1"/>
    </row>
    <row r="958" spans="1:12" ht="15.75" customHeight="1">
      <c r="A958" s="1" t="s">
        <v>3065</v>
      </c>
      <c r="B958" s="2" t="s">
        <v>3044</v>
      </c>
      <c r="C958" s="2" t="s">
        <v>3023</v>
      </c>
      <c r="D958" s="2" t="s">
        <v>2807</v>
      </c>
      <c r="E958" s="2" t="s">
        <v>3045</v>
      </c>
      <c r="F958" s="2" t="s">
        <v>61</v>
      </c>
      <c r="G958" s="2" t="s">
        <v>3046</v>
      </c>
      <c r="H958" s="2" t="s">
        <v>3066</v>
      </c>
      <c r="I958" s="1" t="s">
        <v>116</v>
      </c>
      <c r="J958" s="1" t="s">
        <v>19</v>
      </c>
      <c r="K958" s="6" t="s">
        <v>40</v>
      </c>
      <c r="L958" s="1"/>
    </row>
    <row r="959" spans="1:12" ht="15.75" customHeight="1">
      <c r="A959" s="1" t="s">
        <v>3067</v>
      </c>
      <c r="B959" s="2" t="s">
        <v>3068</v>
      </c>
      <c r="C959" s="2" t="s">
        <v>3069</v>
      </c>
      <c r="D959" s="2" t="s">
        <v>342</v>
      </c>
      <c r="E959" s="2" t="s">
        <v>3070</v>
      </c>
      <c r="F959" s="2" t="s">
        <v>120</v>
      </c>
      <c r="G959" s="2" t="s">
        <v>3071</v>
      </c>
      <c r="H959" s="2" t="s">
        <v>3072</v>
      </c>
      <c r="I959" s="1" t="s">
        <v>3073</v>
      </c>
      <c r="J959" s="1" t="s">
        <v>78</v>
      </c>
      <c r="K959" s="6" t="s">
        <v>40</v>
      </c>
      <c r="L959" s="1"/>
    </row>
    <row r="960" spans="1:12" ht="15.75" customHeight="1">
      <c r="A960" s="1" t="s">
        <v>3074</v>
      </c>
      <c r="B960" s="2" t="s">
        <v>3075</v>
      </c>
      <c r="C960" s="2" t="s">
        <v>3069</v>
      </c>
      <c r="D960" s="2" t="s">
        <v>342</v>
      </c>
      <c r="E960" s="2" t="s">
        <v>3076</v>
      </c>
      <c r="F960" s="2" t="s">
        <v>120</v>
      </c>
      <c r="G960" s="2" t="s">
        <v>3077</v>
      </c>
      <c r="H960" s="2" t="s">
        <v>3078</v>
      </c>
      <c r="I960" s="1" t="s">
        <v>3079</v>
      </c>
      <c r="J960" s="1" t="s">
        <v>50</v>
      </c>
      <c r="K960" s="6" t="s">
        <v>40</v>
      </c>
      <c r="L960" s="1"/>
    </row>
    <row r="961" spans="1:12" ht="15.75" customHeight="1">
      <c r="A961" s="1" t="s">
        <v>3080</v>
      </c>
      <c r="B961" s="2" t="s">
        <v>3075</v>
      </c>
      <c r="C961" s="2" t="s">
        <v>3069</v>
      </c>
      <c r="D961" s="2" t="s">
        <v>342</v>
      </c>
      <c r="E961" s="2" t="s">
        <v>3076</v>
      </c>
      <c r="F961" s="2" t="s">
        <v>120</v>
      </c>
      <c r="G961" s="2" t="s">
        <v>3077</v>
      </c>
      <c r="H961" s="2" t="s">
        <v>3081</v>
      </c>
      <c r="I961" s="1" t="s">
        <v>34</v>
      </c>
      <c r="J961" s="1" t="s">
        <v>35</v>
      </c>
      <c r="K961" s="6" t="s">
        <v>40</v>
      </c>
      <c r="L961" s="1"/>
    </row>
    <row r="962" spans="1:12" ht="15.75" customHeight="1">
      <c r="A962" s="1" t="s">
        <v>3082</v>
      </c>
      <c r="B962" s="2" t="s">
        <v>3075</v>
      </c>
      <c r="C962" s="2" t="s">
        <v>3069</v>
      </c>
      <c r="D962" s="2" t="s">
        <v>342</v>
      </c>
      <c r="E962" s="2" t="s">
        <v>3076</v>
      </c>
      <c r="F962" s="2" t="s">
        <v>120</v>
      </c>
      <c r="G962" s="2" t="s">
        <v>3077</v>
      </c>
      <c r="H962" s="2" t="s">
        <v>3083</v>
      </c>
      <c r="I962" s="1" t="s">
        <v>27</v>
      </c>
      <c r="J962" s="1" t="s">
        <v>28</v>
      </c>
      <c r="K962" s="6" t="s">
        <v>40</v>
      </c>
      <c r="L962" s="1"/>
    </row>
    <row r="963" spans="1:12" ht="15.75" customHeight="1">
      <c r="A963" s="1" t="s">
        <v>3084</v>
      </c>
      <c r="B963" s="2" t="s">
        <v>3075</v>
      </c>
      <c r="C963" s="2" t="s">
        <v>3069</v>
      </c>
      <c r="D963" s="2" t="s">
        <v>342</v>
      </c>
      <c r="E963" s="2" t="s">
        <v>3076</v>
      </c>
      <c r="F963" s="2" t="s">
        <v>120</v>
      </c>
      <c r="G963" s="2" t="s">
        <v>3077</v>
      </c>
      <c r="H963" s="2" t="s">
        <v>3085</v>
      </c>
      <c r="I963" s="1" t="s">
        <v>3079</v>
      </c>
      <c r="J963" s="1" t="s">
        <v>50</v>
      </c>
      <c r="K963" s="6" t="s">
        <v>40</v>
      </c>
      <c r="L963" s="6"/>
    </row>
    <row r="964" spans="1:12" ht="15.75" customHeight="1">
      <c r="A964" s="1" t="s">
        <v>3086</v>
      </c>
      <c r="B964" s="2" t="s">
        <v>3075</v>
      </c>
      <c r="C964" s="2" t="s">
        <v>3069</v>
      </c>
      <c r="D964" s="2" t="s">
        <v>342</v>
      </c>
      <c r="E964" s="2" t="s">
        <v>3076</v>
      </c>
      <c r="F964" s="2" t="s">
        <v>120</v>
      </c>
      <c r="G964" s="2" t="s">
        <v>3077</v>
      </c>
      <c r="H964" s="2" t="s">
        <v>3087</v>
      </c>
      <c r="I964" s="1" t="s">
        <v>18</v>
      </c>
      <c r="J964" s="1" t="s">
        <v>19</v>
      </c>
      <c r="K964" s="6" t="s">
        <v>40</v>
      </c>
      <c r="L964" s="1"/>
    </row>
    <row r="965" spans="1:12" ht="15.75" customHeight="1">
      <c r="A965" s="1" t="s">
        <v>3088</v>
      </c>
      <c r="B965" s="2" t="s">
        <v>3068</v>
      </c>
      <c r="C965" s="2" t="s">
        <v>3069</v>
      </c>
      <c r="D965" s="2" t="s">
        <v>342</v>
      </c>
      <c r="E965" s="2" t="s">
        <v>3070</v>
      </c>
      <c r="F965" s="2" t="s">
        <v>120</v>
      </c>
      <c r="G965" s="2" t="s">
        <v>3071</v>
      </c>
      <c r="H965" s="2" t="s">
        <v>3089</v>
      </c>
      <c r="I965" s="1" t="s">
        <v>2023</v>
      </c>
      <c r="J965" s="1" t="s">
        <v>19</v>
      </c>
      <c r="K965" s="6" t="s">
        <v>40</v>
      </c>
      <c r="L965" s="1"/>
    </row>
    <row r="966" spans="1:12" ht="15.75" customHeight="1">
      <c r="A966" s="1" t="s">
        <v>3090</v>
      </c>
      <c r="B966" s="2" t="s">
        <v>3091</v>
      </c>
      <c r="C966" s="2" t="s">
        <v>3092</v>
      </c>
      <c r="D966" s="2" t="s">
        <v>1204</v>
      </c>
      <c r="E966" s="2" t="s">
        <v>3093</v>
      </c>
      <c r="F966" s="2" t="s">
        <v>46</v>
      </c>
      <c r="G966" s="2" t="s">
        <v>3094</v>
      </c>
      <c r="H966" s="2" t="s">
        <v>3095</v>
      </c>
      <c r="I966" s="1" t="s">
        <v>3096</v>
      </c>
      <c r="J966" s="1" t="s">
        <v>28</v>
      </c>
      <c r="K966" s="6" t="s">
        <v>40</v>
      </c>
      <c r="L966" s="1"/>
    </row>
    <row r="967" spans="1:12" ht="15.75" customHeight="1">
      <c r="A967" s="1" t="s">
        <v>3097</v>
      </c>
      <c r="B967" s="2" t="s">
        <v>3091</v>
      </c>
      <c r="C967" s="2" t="s">
        <v>3092</v>
      </c>
      <c r="D967" s="2" t="s">
        <v>1204</v>
      </c>
      <c r="E967" s="2" t="s">
        <v>3093</v>
      </c>
      <c r="F967" s="2" t="s">
        <v>46</v>
      </c>
      <c r="G967" s="2" t="s">
        <v>3094</v>
      </c>
      <c r="H967" s="2" t="s">
        <v>3098</v>
      </c>
      <c r="I967" s="1" t="s">
        <v>3096</v>
      </c>
      <c r="J967" s="1" t="s">
        <v>28</v>
      </c>
      <c r="K967" s="6" t="s">
        <v>40</v>
      </c>
      <c r="L967" s="1"/>
    </row>
    <row r="968" spans="1:12" ht="15.75" customHeight="1">
      <c r="A968" s="1" t="s">
        <v>3099</v>
      </c>
      <c r="B968" s="2" t="s">
        <v>3100</v>
      </c>
      <c r="C968" s="2" t="s">
        <v>3092</v>
      </c>
      <c r="D968" s="2" t="s">
        <v>1204</v>
      </c>
      <c r="E968" s="2" t="s">
        <v>3101</v>
      </c>
      <c r="F968" s="2" t="s">
        <v>157</v>
      </c>
      <c r="G968" s="2" t="s">
        <v>3102</v>
      </c>
      <c r="H968" s="2" t="s">
        <v>3103</v>
      </c>
      <c r="I968" s="1" t="s">
        <v>3104</v>
      </c>
      <c r="J968" s="1" t="s">
        <v>19</v>
      </c>
      <c r="K968" s="6" t="s">
        <v>40</v>
      </c>
      <c r="L968" s="1"/>
    </row>
    <row r="969" spans="1:12" ht="15.75" customHeight="1">
      <c r="A969" s="1" t="s">
        <v>3105</v>
      </c>
      <c r="B969" s="2" t="s">
        <v>3106</v>
      </c>
      <c r="C969" s="2" t="s">
        <v>3107</v>
      </c>
      <c r="D969" s="2" t="s">
        <v>44</v>
      </c>
      <c r="E969" s="2" t="s">
        <v>3108</v>
      </c>
      <c r="F969" s="2" t="s">
        <v>120</v>
      </c>
      <c r="G969" s="2" t="s">
        <v>3109</v>
      </c>
      <c r="H969" s="2" t="s">
        <v>3110</v>
      </c>
      <c r="I969" s="1" t="s">
        <v>3111</v>
      </c>
      <c r="J969" s="1" t="s">
        <v>28</v>
      </c>
      <c r="K969" s="6" t="s">
        <v>40</v>
      </c>
      <c r="L969" s="1"/>
    </row>
    <row r="970" spans="1:12" ht="15.75" customHeight="1">
      <c r="A970" s="1" t="s">
        <v>3112</v>
      </c>
      <c r="B970" s="2" t="s">
        <v>3106</v>
      </c>
      <c r="C970" s="2" t="s">
        <v>3107</v>
      </c>
      <c r="D970" s="2" t="s">
        <v>44</v>
      </c>
      <c r="E970" s="2" t="s">
        <v>3108</v>
      </c>
      <c r="F970" s="2" t="s">
        <v>120</v>
      </c>
      <c r="G970" s="2" t="s">
        <v>3109</v>
      </c>
      <c r="H970" s="2" t="s">
        <v>3113</v>
      </c>
      <c r="I970" s="1" t="s">
        <v>2396</v>
      </c>
      <c r="J970" s="1" t="s">
        <v>35</v>
      </c>
      <c r="K970" s="6" t="s">
        <v>40</v>
      </c>
      <c r="L970" s="1"/>
    </row>
    <row r="971" spans="1:12" ht="15.75" customHeight="1">
      <c r="A971" s="1" t="s">
        <v>3114</v>
      </c>
      <c r="B971" s="2" t="s">
        <v>3115</v>
      </c>
      <c r="C971" s="2" t="s">
        <v>3107</v>
      </c>
      <c r="D971" s="2" t="s">
        <v>44</v>
      </c>
      <c r="E971" s="2" t="s">
        <v>3116</v>
      </c>
      <c r="F971" s="2" t="s">
        <v>24</v>
      </c>
      <c r="G971" s="2" t="s">
        <v>3117</v>
      </c>
      <c r="H971" s="2" t="s">
        <v>3118</v>
      </c>
      <c r="I971" s="1" t="s">
        <v>2518</v>
      </c>
      <c r="J971" s="1" t="s">
        <v>19</v>
      </c>
      <c r="K971" s="6" t="s">
        <v>40</v>
      </c>
      <c r="L971" s="1"/>
    </row>
    <row r="972" spans="1:12" ht="15.75" customHeight="1">
      <c r="A972" s="1" t="s">
        <v>3119</v>
      </c>
      <c r="B972" s="2" t="s">
        <v>3115</v>
      </c>
      <c r="C972" s="2" t="s">
        <v>3107</v>
      </c>
      <c r="D972" s="2" t="s">
        <v>44</v>
      </c>
      <c r="E972" s="2" t="s">
        <v>3116</v>
      </c>
      <c r="F972" s="2" t="s">
        <v>24</v>
      </c>
      <c r="G972" s="2" t="s">
        <v>3117</v>
      </c>
      <c r="H972" s="2" t="s">
        <v>3120</v>
      </c>
      <c r="I972" s="1" t="s">
        <v>2518</v>
      </c>
      <c r="J972" s="1" t="s">
        <v>19</v>
      </c>
      <c r="K972" s="6" t="s">
        <v>40</v>
      </c>
      <c r="L972" s="1"/>
    </row>
    <row r="973" spans="1:12" ht="15.75" customHeight="1">
      <c r="A973" s="1" t="s">
        <v>3121</v>
      </c>
      <c r="B973" s="2" t="s">
        <v>3106</v>
      </c>
      <c r="C973" s="2" t="s">
        <v>3107</v>
      </c>
      <c r="D973" s="2" t="s">
        <v>44</v>
      </c>
      <c r="E973" s="2" t="s">
        <v>3108</v>
      </c>
      <c r="F973" s="2" t="s">
        <v>120</v>
      </c>
      <c r="G973" s="2" t="s">
        <v>3109</v>
      </c>
      <c r="H973" s="2" t="s">
        <v>3122</v>
      </c>
      <c r="I973" s="1" t="s">
        <v>2396</v>
      </c>
      <c r="J973" s="1" t="s">
        <v>35</v>
      </c>
      <c r="K973" s="6" t="s">
        <v>40</v>
      </c>
      <c r="L973" s="1"/>
    </row>
    <row r="974" spans="1:12" ht="15.75" customHeight="1">
      <c r="A974" s="1" t="s">
        <v>3123</v>
      </c>
      <c r="B974" s="2" t="s">
        <v>3106</v>
      </c>
      <c r="C974" s="2" t="s">
        <v>3107</v>
      </c>
      <c r="D974" s="2" t="s">
        <v>44</v>
      </c>
      <c r="E974" s="2" t="s">
        <v>3108</v>
      </c>
      <c r="F974" s="2" t="s">
        <v>120</v>
      </c>
      <c r="G974" s="2" t="s">
        <v>3109</v>
      </c>
      <c r="H974" s="2" t="s">
        <v>3124</v>
      </c>
      <c r="I974" s="1" t="s">
        <v>2396</v>
      </c>
      <c r="J974" s="1" t="s">
        <v>35</v>
      </c>
      <c r="K974" s="6" t="s">
        <v>40</v>
      </c>
      <c r="L974" s="1"/>
    </row>
    <row r="975" spans="1:12" ht="15.75" customHeight="1">
      <c r="A975" s="1" t="s">
        <v>3125</v>
      </c>
      <c r="B975" s="2" t="s">
        <v>3126</v>
      </c>
      <c r="C975" s="2" t="s">
        <v>3127</v>
      </c>
      <c r="D975" s="2" t="s">
        <v>454</v>
      </c>
      <c r="E975" s="2" t="s">
        <v>3128</v>
      </c>
      <c r="F975" s="2" t="s">
        <v>140</v>
      </c>
      <c r="G975" s="2" t="s">
        <v>3129</v>
      </c>
      <c r="H975" s="2" t="s">
        <v>3130</v>
      </c>
      <c r="I975" s="1" t="s">
        <v>36</v>
      </c>
      <c r="J975" s="1" t="s">
        <v>28</v>
      </c>
      <c r="K975" s="6" t="s">
        <v>40</v>
      </c>
      <c r="L975" s="1"/>
    </row>
    <row r="976" spans="1:12" ht="15.75" customHeight="1">
      <c r="A976" s="1" t="s">
        <v>3131</v>
      </c>
      <c r="B976" s="2" t="s">
        <v>3132</v>
      </c>
      <c r="C976" s="2" t="s">
        <v>3127</v>
      </c>
      <c r="D976" s="2" t="s">
        <v>454</v>
      </c>
      <c r="E976" s="2" t="s">
        <v>3133</v>
      </c>
      <c r="F976" s="2" t="s">
        <v>120</v>
      </c>
      <c r="G976" s="2" t="s">
        <v>3134</v>
      </c>
      <c r="H976" s="2" t="s">
        <v>3135</v>
      </c>
      <c r="I976" s="1" t="s">
        <v>3136</v>
      </c>
      <c r="J976" s="1" t="s">
        <v>78</v>
      </c>
      <c r="K976" s="6" t="s">
        <v>40</v>
      </c>
      <c r="L976" s="1"/>
    </row>
    <row r="977" spans="1:12" ht="15.75" customHeight="1">
      <c r="A977" s="1" t="s">
        <v>3137</v>
      </c>
      <c r="B977" s="2" t="s">
        <v>3138</v>
      </c>
      <c r="C977" s="2" t="s">
        <v>3127</v>
      </c>
      <c r="D977" s="2" t="s">
        <v>454</v>
      </c>
      <c r="E977" s="2" t="s">
        <v>3139</v>
      </c>
      <c r="F977" s="2" t="s">
        <v>157</v>
      </c>
      <c r="G977" s="2" t="s">
        <v>3140</v>
      </c>
      <c r="H977" s="2" t="s">
        <v>3141</v>
      </c>
      <c r="I977" s="1" t="s">
        <v>29</v>
      </c>
      <c r="J977" s="1" t="s">
        <v>35</v>
      </c>
      <c r="K977" s="6" t="s">
        <v>40</v>
      </c>
      <c r="L977" s="6"/>
    </row>
    <row r="978" spans="1:12" ht="15.75" customHeight="1">
      <c r="A978" s="1" t="s">
        <v>3142</v>
      </c>
      <c r="B978" s="2" t="s">
        <v>3143</v>
      </c>
      <c r="C978" s="2" t="s">
        <v>3127</v>
      </c>
      <c r="D978" s="2" t="s">
        <v>454</v>
      </c>
      <c r="E978" s="2" t="s">
        <v>3144</v>
      </c>
      <c r="F978" s="2" t="s">
        <v>180</v>
      </c>
      <c r="G978" s="2" t="s">
        <v>3145</v>
      </c>
      <c r="H978" s="2" t="s">
        <v>3146</v>
      </c>
      <c r="I978" s="1" t="s">
        <v>36</v>
      </c>
      <c r="J978" s="1" t="s">
        <v>28</v>
      </c>
      <c r="K978" s="6" t="s">
        <v>40</v>
      </c>
      <c r="L978" s="1"/>
    </row>
    <row r="979" spans="1:12" ht="15.75" customHeight="1">
      <c r="A979" s="1" t="s">
        <v>3147</v>
      </c>
      <c r="B979" s="2" t="s">
        <v>3148</v>
      </c>
      <c r="C979" s="2" t="s">
        <v>3127</v>
      </c>
      <c r="D979" s="2" t="s">
        <v>454</v>
      </c>
      <c r="E979" s="2" t="s">
        <v>3149</v>
      </c>
      <c r="F979" s="2" t="s">
        <v>15</v>
      </c>
      <c r="G979" s="2" t="s">
        <v>3150</v>
      </c>
      <c r="H979" s="2" t="s">
        <v>3151</v>
      </c>
      <c r="I979" s="1" t="s">
        <v>3152</v>
      </c>
      <c r="J979" s="1" t="s">
        <v>78</v>
      </c>
      <c r="K979" s="6" t="s">
        <v>40</v>
      </c>
      <c r="L979" s="1"/>
    </row>
    <row r="980" spans="1:12" ht="15.75" customHeight="1">
      <c r="A980" s="1" t="s">
        <v>3153</v>
      </c>
      <c r="B980" s="2" t="s">
        <v>3143</v>
      </c>
      <c r="C980" s="2" t="s">
        <v>3127</v>
      </c>
      <c r="D980" s="2" t="s">
        <v>454</v>
      </c>
      <c r="E980" s="2" t="s">
        <v>3144</v>
      </c>
      <c r="F980" s="2" t="s">
        <v>180</v>
      </c>
      <c r="G980" s="2" t="s">
        <v>3145</v>
      </c>
      <c r="H980" s="2" t="s">
        <v>3154</v>
      </c>
      <c r="I980" s="1" t="s">
        <v>36</v>
      </c>
      <c r="J980" s="1" t="s">
        <v>28</v>
      </c>
      <c r="K980" s="6" t="s">
        <v>40</v>
      </c>
      <c r="L980" s="1"/>
    </row>
    <row r="981" spans="1:12" ht="15.75" customHeight="1">
      <c r="A981" s="1" t="s">
        <v>3155</v>
      </c>
      <c r="B981" s="2" t="s">
        <v>3156</v>
      </c>
      <c r="C981" s="2" t="s">
        <v>3127</v>
      </c>
      <c r="D981" s="2" t="s">
        <v>454</v>
      </c>
      <c r="E981" s="2" t="s">
        <v>3157</v>
      </c>
      <c r="F981" s="2" t="s">
        <v>120</v>
      </c>
      <c r="G981" s="2" t="s">
        <v>3158</v>
      </c>
      <c r="H981" s="2" t="s">
        <v>3159</v>
      </c>
      <c r="I981" s="1" t="s">
        <v>3160</v>
      </c>
      <c r="J981" s="1" t="s">
        <v>19</v>
      </c>
      <c r="K981" s="6" t="s">
        <v>40</v>
      </c>
      <c r="L981" s="1"/>
    </row>
    <row r="982" spans="1:12" ht="15.75" customHeight="1">
      <c r="A982" s="1" t="s">
        <v>3161</v>
      </c>
      <c r="B982" s="2" t="s">
        <v>3162</v>
      </c>
      <c r="C982" s="2" t="s">
        <v>3163</v>
      </c>
      <c r="D982" s="2" t="s">
        <v>44</v>
      </c>
      <c r="E982" s="2" t="s">
        <v>3164</v>
      </c>
      <c r="F982" s="2" t="s">
        <v>120</v>
      </c>
      <c r="G982" s="8" t="s">
        <v>3165</v>
      </c>
      <c r="H982" s="2" t="s">
        <v>3166</v>
      </c>
      <c r="I982" s="1" t="s">
        <v>351</v>
      </c>
      <c r="J982" s="1" t="s">
        <v>28</v>
      </c>
      <c r="K982" s="6" t="s">
        <v>40</v>
      </c>
      <c r="L982" s="1"/>
    </row>
    <row r="983" spans="1:12" ht="15.75" customHeight="1">
      <c r="A983" s="1" t="s">
        <v>3167</v>
      </c>
      <c r="B983" s="2" t="s">
        <v>3168</v>
      </c>
      <c r="C983" s="2" t="s">
        <v>3163</v>
      </c>
      <c r="D983" s="2" t="s">
        <v>44</v>
      </c>
      <c r="E983" s="2" t="s">
        <v>3169</v>
      </c>
      <c r="F983" s="2" t="s">
        <v>264</v>
      </c>
      <c r="G983" s="8" t="s">
        <v>3170</v>
      </c>
      <c r="H983" s="2" t="s">
        <v>3171</v>
      </c>
      <c r="I983" s="1" t="s">
        <v>3172</v>
      </c>
      <c r="J983" s="1" t="s">
        <v>28</v>
      </c>
      <c r="K983" s="6" t="s">
        <v>40</v>
      </c>
      <c r="L983" s="1"/>
    </row>
    <row r="984" spans="1:12" ht="15.75" customHeight="1">
      <c r="A984" s="1" t="s">
        <v>3173</v>
      </c>
      <c r="B984" s="2" t="s">
        <v>3174</v>
      </c>
      <c r="C984" s="2" t="s">
        <v>3163</v>
      </c>
      <c r="D984" s="2" t="s">
        <v>44</v>
      </c>
      <c r="E984" s="2" t="s">
        <v>3175</v>
      </c>
      <c r="F984" s="2" t="s">
        <v>157</v>
      </c>
      <c r="G984" s="8" t="s">
        <v>3176</v>
      </c>
      <c r="H984" s="2" t="s">
        <v>3177</v>
      </c>
      <c r="I984" s="1" t="s">
        <v>351</v>
      </c>
      <c r="J984" s="1" t="s">
        <v>28</v>
      </c>
      <c r="K984" s="6" t="s">
        <v>40</v>
      </c>
      <c r="L984" s="1"/>
    </row>
    <row r="985" spans="1:12" ht="15.75" customHeight="1">
      <c r="A985" s="1" t="s">
        <v>3178</v>
      </c>
      <c r="B985" s="2" t="s">
        <v>3179</v>
      </c>
      <c r="C985" s="2" t="s">
        <v>3163</v>
      </c>
      <c r="D985" s="2" t="s">
        <v>44</v>
      </c>
      <c r="E985" s="2" t="s">
        <v>3180</v>
      </c>
      <c r="F985" s="2" t="s">
        <v>3181</v>
      </c>
      <c r="G985" s="8" t="s">
        <v>3182</v>
      </c>
      <c r="H985" s="2" t="s">
        <v>3183</v>
      </c>
      <c r="I985" s="1" t="s">
        <v>351</v>
      </c>
      <c r="J985" s="1" t="s">
        <v>28</v>
      </c>
      <c r="K985" s="6" t="s">
        <v>40</v>
      </c>
      <c r="L985" s="1"/>
    </row>
    <row r="986" spans="1:12" ht="15.75" customHeight="1">
      <c r="A986" s="1" t="s">
        <v>3184</v>
      </c>
      <c r="B986" s="2" t="s">
        <v>3185</v>
      </c>
      <c r="C986" s="2" t="s">
        <v>3163</v>
      </c>
      <c r="D986" s="2" t="s">
        <v>44</v>
      </c>
      <c r="E986" s="2" t="s">
        <v>3186</v>
      </c>
      <c r="F986" s="2" t="s">
        <v>140</v>
      </c>
      <c r="G986" s="8" t="s">
        <v>3187</v>
      </c>
      <c r="H986" s="2" t="s">
        <v>3188</v>
      </c>
      <c r="I986" s="1" t="s">
        <v>18</v>
      </c>
      <c r="J986" s="1" t="s">
        <v>19</v>
      </c>
      <c r="K986" s="6" t="s">
        <v>40</v>
      </c>
      <c r="L986" s="1"/>
    </row>
    <row r="987" spans="1:12" ht="15.75" customHeight="1">
      <c r="A987" s="1" t="s">
        <v>3189</v>
      </c>
      <c r="B987" s="2" t="s">
        <v>3179</v>
      </c>
      <c r="C987" s="2" t="s">
        <v>3163</v>
      </c>
      <c r="D987" s="2" t="s">
        <v>44</v>
      </c>
      <c r="E987" s="2" t="s">
        <v>3180</v>
      </c>
      <c r="F987" s="2" t="s">
        <v>3181</v>
      </c>
      <c r="G987" s="8" t="s">
        <v>3182</v>
      </c>
      <c r="H987" s="2" t="s">
        <v>3190</v>
      </c>
      <c r="I987" s="1" t="s">
        <v>351</v>
      </c>
      <c r="J987" s="1" t="s">
        <v>28</v>
      </c>
      <c r="K987" s="6" t="s">
        <v>40</v>
      </c>
      <c r="L987" s="1"/>
    </row>
    <row r="988" spans="1:12" ht="15.75" customHeight="1">
      <c r="A988" s="1" t="s">
        <v>3191</v>
      </c>
      <c r="B988" s="2" t="s">
        <v>3192</v>
      </c>
      <c r="C988" s="2" t="s">
        <v>3163</v>
      </c>
      <c r="D988" s="2" t="s">
        <v>44</v>
      </c>
      <c r="E988" s="2" t="s">
        <v>3193</v>
      </c>
      <c r="F988" s="2" t="s">
        <v>264</v>
      </c>
      <c r="G988" s="8" t="s">
        <v>3194</v>
      </c>
      <c r="H988" s="2" t="s">
        <v>3195</v>
      </c>
      <c r="I988" s="1" t="s">
        <v>351</v>
      </c>
      <c r="J988" s="1" t="s">
        <v>28</v>
      </c>
      <c r="K988" s="6" t="s">
        <v>40</v>
      </c>
      <c r="L988" s="1"/>
    </row>
    <row r="989" spans="1:12" ht="15.75" customHeight="1">
      <c r="A989" s="1" t="s">
        <v>3196</v>
      </c>
      <c r="B989" s="2" t="s">
        <v>3162</v>
      </c>
      <c r="C989" s="2" t="s">
        <v>3163</v>
      </c>
      <c r="D989" s="2" t="s">
        <v>44</v>
      </c>
      <c r="E989" s="2" t="s">
        <v>3164</v>
      </c>
      <c r="F989" s="2" t="s">
        <v>120</v>
      </c>
      <c r="G989" s="8" t="s">
        <v>3165</v>
      </c>
      <c r="H989" s="2" t="s">
        <v>3197</v>
      </c>
      <c r="I989" s="1" t="s">
        <v>351</v>
      </c>
      <c r="J989" s="1" t="s">
        <v>28</v>
      </c>
      <c r="K989" s="6" t="s">
        <v>40</v>
      </c>
      <c r="L989" s="1"/>
    </row>
    <row r="990" spans="1:12" ht="15.75" customHeight="1">
      <c r="A990" s="1" t="s">
        <v>3198</v>
      </c>
      <c r="B990" s="2" t="s">
        <v>3162</v>
      </c>
      <c r="C990" s="2" t="s">
        <v>3163</v>
      </c>
      <c r="D990" s="2" t="s">
        <v>44</v>
      </c>
      <c r="E990" s="2" t="s">
        <v>3164</v>
      </c>
      <c r="F990" s="2" t="s">
        <v>120</v>
      </c>
      <c r="G990" s="8" t="s">
        <v>3165</v>
      </c>
      <c r="H990" s="2" t="s">
        <v>3199</v>
      </c>
      <c r="I990" s="1" t="s">
        <v>18</v>
      </c>
      <c r="J990" s="1" t="s">
        <v>19</v>
      </c>
      <c r="K990" s="6" t="s">
        <v>40</v>
      </c>
      <c r="L990" s="1"/>
    </row>
    <row r="991" spans="1:12" ht="15.75" customHeight="1">
      <c r="A991" s="1" t="s">
        <v>3200</v>
      </c>
      <c r="B991" s="2" t="s">
        <v>3201</v>
      </c>
      <c r="C991" s="2" t="s">
        <v>3163</v>
      </c>
      <c r="D991" s="2" t="s">
        <v>44</v>
      </c>
      <c r="E991" s="2" t="s">
        <v>3202</v>
      </c>
      <c r="F991" s="2" t="s">
        <v>294</v>
      </c>
      <c r="G991" s="8" t="s">
        <v>3203</v>
      </c>
      <c r="H991" s="2" t="s">
        <v>3204</v>
      </c>
      <c r="I991" s="1" t="s">
        <v>160</v>
      </c>
      <c r="J991" s="1" t="s">
        <v>78</v>
      </c>
      <c r="K991" s="6" t="s">
        <v>40</v>
      </c>
      <c r="L991" s="1"/>
    </row>
    <row r="992" spans="1:12" ht="15.75" customHeight="1">
      <c r="A992" s="1" t="s">
        <v>3205</v>
      </c>
      <c r="B992" s="2" t="s">
        <v>3185</v>
      </c>
      <c r="C992" s="2" t="s">
        <v>3163</v>
      </c>
      <c r="D992" s="2" t="s">
        <v>44</v>
      </c>
      <c r="E992" s="2" t="s">
        <v>3186</v>
      </c>
      <c r="F992" s="2" t="s">
        <v>140</v>
      </c>
      <c r="G992" s="8" t="s">
        <v>3187</v>
      </c>
      <c r="H992" s="2" t="s">
        <v>3206</v>
      </c>
      <c r="I992" s="1" t="s">
        <v>18</v>
      </c>
      <c r="J992" s="1" t="s">
        <v>19</v>
      </c>
      <c r="K992" s="6" t="s">
        <v>40</v>
      </c>
      <c r="L992" s="1"/>
    </row>
    <row r="993" spans="1:12" ht="15.75" customHeight="1">
      <c r="A993" s="1" t="s">
        <v>3207</v>
      </c>
      <c r="B993" s="2" t="s">
        <v>3185</v>
      </c>
      <c r="C993" s="2" t="s">
        <v>3163</v>
      </c>
      <c r="D993" s="2" t="s">
        <v>44</v>
      </c>
      <c r="E993" s="2" t="s">
        <v>3186</v>
      </c>
      <c r="F993" s="2" t="s">
        <v>140</v>
      </c>
      <c r="G993" s="8" t="s">
        <v>3187</v>
      </c>
      <c r="H993" s="2" t="s">
        <v>3208</v>
      </c>
      <c r="I993" s="1" t="s">
        <v>18</v>
      </c>
      <c r="J993" s="1" t="s">
        <v>19</v>
      </c>
      <c r="K993" s="6" t="s">
        <v>40</v>
      </c>
      <c r="L993" s="1"/>
    </row>
    <row r="994" spans="1:12" ht="15.75" customHeight="1">
      <c r="A994" s="1" t="s">
        <v>3209</v>
      </c>
      <c r="B994" s="2" t="s">
        <v>3185</v>
      </c>
      <c r="C994" s="2" t="s">
        <v>3163</v>
      </c>
      <c r="D994" s="2" t="s">
        <v>44</v>
      </c>
      <c r="E994" s="2" t="s">
        <v>3186</v>
      </c>
      <c r="F994" s="2" t="s">
        <v>140</v>
      </c>
      <c r="G994" s="8" t="s">
        <v>3187</v>
      </c>
      <c r="H994" s="2" t="s">
        <v>3210</v>
      </c>
      <c r="I994" s="1" t="s">
        <v>18</v>
      </c>
      <c r="J994" s="1" t="s">
        <v>19</v>
      </c>
      <c r="K994" s="6" t="s">
        <v>40</v>
      </c>
      <c r="L994" s="1"/>
    </row>
    <row r="995" spans="1:12" ht="15.75" customHeight="1">
      <c r="A995" s="1" t="s">
        <v>3211</v>
      </c>
      <c r="B995" s="2" t="s">
        <v>3162</v>
      </c>
      <c r="C995" s="2" t="s">
        <v>3163</v>
      </c>
      <c r="D995" s="2" t="s">
        <v>44</v>
      </c>
      <c r="E995" s="2" t="s">
        <v>3164</v>
      </c>
      <c r="F995" s="2" t="s">
        <v>120</v>
      </c>
      <c r="G995" s="8" t="s">
        <v>3165</v>
      </c>
      <c r="H995" s="2" t="s">
        <v>3212</v>
      </c>
      <c r="I995" s="1" t="s">
        <v>351</v>
      </c>
      <c r="J995" s="1" t="s">
        <v>28</v>
      </c>
      <c r="K995" s="6" t="s">
        <v>40</v>
      </c>
      <c r="L995" s="1"/>
    </row>
    <row r="996" spans="1:12" ht="15.75" customHeight="1">
      <c r="A996" s="1" t="s">
        <v>3213</v>
      </c>
      <c r="B996" s="2" t="s">
        <v>3214</v>
      </c>
      <c r="C996" s="2" t="s">
        <v>3163</v>
      </c>
      <c r="D996" s="2" t="s">
        <v>44</v>
      </c>
      <c r="E996" s="2" t="s">
        <v>3215</v>
      </c>
      <c r="F996" s="2" t="s">
        <v>330</v>
      </c>
      <c r="G996" s="8" t="s">
        <v>3216</v>
      </c>
      <c r="H996" s="2" t="s">
        <v>3217</v>
      </c>
      <c r="I996" s="1" t="s">
        <v>34</v>
      </c>
      <c r="J996" s="1" t="s">
        <v>35</v>
      </c>
      <c r="K996" s="6" t="s">
        <v>40</v>
      </c>
      <c r="L996" s="1"/>
    </row>
    <row r="997" spans="1:12" ht="15.75" customHeight="1">
      <c r="A997" s="1" t="s">
        <v>3218</v>
      </c>
      <c r="B997" s="2" t="s">
        <v>3219</v>
      </c>
      <c r="C997" s="2" t="s">
        <v>3163</v>
      </c>
      <c r="D997" s="2" t="s">
        <v>44</v>
      </c>
      <c r="E997" s="2" t="s">
        <v>3220</v>
      </c>
      <c r="F997" s="2" t="s">
        <v>294</v>
      </c>
      <c r="G997" s="8" t="s">
        <v>3221</v>
      </c>
      <c r="H997" s="2" t="s">
        <v>3222</v>
      </c>
      <c r="I997" s="1" t="s">
        <v>27</v>
      </c>
      <c r="J997" s="1" t="s">
        <v>28</v>
      </c>
      <c r="K997" s="6" t="s">
        <v>40</v>
      </c>
      <c r="L997" s="1"/>
    </row>
    <row r="998" spans="1:12" ht="15.75" customHeight="1">
      <c r="A998" s="1" t="s">
        <v>3223</v>
      </c>
      <c r="B998" s="2" t="s">
        <v>3185</v>
      </c>
      <c r="C998" s="2" t="s">
        <v>3163</v>
      </c>
      <c r="D998" s="2" t="s">
        <v>44</v>
      </c>
      <c r="E998" s="2" t="s">
        <v>3186</v>
      </c>
      <c r="F998" s="2" t="s">
        <v>140</v>
      </c>
      <c r="G998" s="8" t="s">
        <v>3187</v>
      </c>
      <c r="H998" s="2" t="s">
        <v>3224</v>
      </c>
      <c r="I998" s="1" t="s">
        <v>351</v>
      </c>
      <c r="J998" s="1" t="s">
        <v>28</v>
      </c>
      <c r="K998" s="6" t="s">
        <v>40</v>
      </c>
      <c r="L998" s="1"/>
    </row>
    <row r="999" spans="1:12" ht="15.75" customHeight="1">
      <c r="A999" s="1" t="s">
        <v>3225</v>
      </c>
      <c r="B999" s="2" t="s">
        <v>3214</v>
      </c>
      <c r="C999" s="2" t="s">
        <v>3163</v>
      </c>
      <c r="D999" s="2" t="s">
        <v>44</v>
      </c>
      <c r="E999" s="2" t="s">
        <v>3215</v>
      </c>
      <c r="F999" s="2" t="s">
        <v>330</v>
      </c>
      <c r="G999" s="8" t="s">
        <v>3216</v>
      </c>
      <c r="H999" s="2" t="s">
        <v>3226</v>
      </c>
      <c r="I999" s="1" t="s">
        <v>1349</v>
      </c>
      <c r="J999" s="1" t="s">
        <v>50</v>
      </c>
      <c r="K999" s="6" t="s">
        <v>40</v>
      </c>
      <c r="L999" s="1"/>
    </row>
    <row r="1000" spans="1:12" ht="15.75" customHeight="1">
      <c r="A1000" s="1" t="s">
        <v>3227</v>
      </c>
      <c r="B1000" s="2" t="s">
        <v>3162</v>
      </c>
      <c r="C1000" s="2" t="s">
        <v>3163</v>
      </c>
      <c r="D1000" s="2" t="s">
        <v>44</v>
      </c>
      <c r="E1000" s="2" t="s">
        <v>3164</v>
      </c>
      <c r="F1000" s="2" t="s">
        <v>120</v>
      </c>
      <c r="G1000" s="8" t="s">
        <v>3165</v>
      </c>
      <c r="H1000" s="2" t="s">
        <v>3228</v>
      </c>
      <c r="I1000" s="1" t="s">
        <v>34</v>
      </c>
      <c r="J1000" s="1" t="s">
        <v>35</v>
      </c>
      <c r="K1000" s="6" t="s">
        <v>40</v>
      </c>
      <c r="L1000" s="1"/>
    </row>
    <row r="1001" spans="1:12" ht="15.75" customHeight="1">
      <c r="A1001" s="1" t="s">
        <v>3229</v>
      </c>
      <c r="B1001" s="2" t="s">
        <v>3162</v>
      </c>
      <c r="C1001" s="2" t="s">
        <v>3163</v>
      </c>
      <c r="D1001" s="2" t="s">
        <v>44</v>
      </c>
      <c r="E1001" s="2" t="s">
        <v>3164</v>
      </c>
      <c r="F1001" s="2" t="s">
        <v>120</v>
      </c>
      <c r="G1001" s="8" t="s">
        <v>3165</v>
      </c>
      <c r="H1001" s="2" t="s">
        <v>3230</v>
      </c>
      <c r="I1001" s="1" t="s">
        <v>351</v>
      </c>
      <c r="J1001" s="1" t="s">
        <v>28</v>
      </c>
      <c r="K1001" s="6" t="s">
        <v>40</v>
      </c>
      <c r="L1001" s="1"/>
    </row>
    <row r="1002" spans="1:12" ht="15.75" customHeight="1">
      <c r="A1002" s="1" t="s">
        <v>3231</v>
      </c>
      <c r="B1002" s="2" t="s">
        <v>3201</v>
      </c>
      <c r="C1002" s="2" t="s">
        <v>3163</v>
      </c>
      <c r="D1002" s="2" t="s">
        <v>44</v>
      </c>
      <c r="E1002" s="2" t="s">
        <v>3202</v>
      </c>
      <c r="F1002" s="2" t="s">
        <v>294</v>
      </c>
      <c r="G1002" s="8" t="s">
        <v>3203</v>
      </c>
      <c r="H1002" s="2" t="s">
        <v>3232</v>
      </c>
      <c r="I1002" s="1" t="s">
        <v>18</v>
      </c>
      <c r="J1002" s="1" t="s">
        <v>19</v>
      </c>
      <c r="K1002" s="6" t="s">
        <v>40</v>
      </c>
      <c r="L1002" s="1"/>
    </row>
    <row r="1003" spans="1:12" ht="16">
      <c r="A1003" s="1" t="s">
        <v>3233</v>
      </c>
      <c r="B1003" s="2" t="s">
        <v>3162</v>
      </c>
      <c r="C1003" s="2" t="s">
        <v>3163</v>
      </c>
      <c r="D1003" s="2" t="s">
        <v>44</v>
      </c>
      <c r="E1003" s="2" t="s">
        <v>3164</v>
      </c>
      <c r="F1003" s="2" t="s">
        <v>120</v>
      </c>
      <c r="G1003" s="8" t="s">
        <v>3165</v>
      </c>
      <c r="H1003" s="2" t="s">
        <v>3234</v>
      </c>
      <c r="I1003" s="1" t="s">
        <v>18</v>
      </c>
      <c r="J1003" s="1" t="s">
        <v>19</v>
      </c>
      <c r="K1003" s="6" t="s">
        <v>40</v>
      </c>
      <c r="L1003" s="1"/>
    </row>
    <row r="1004" spans="1:12" ht="15.75" customHeight="1">
      <c r="A1004" s="1" t="s">
        <v>3235</v>
      </c>
      <c r="B1004" s="2" t="s">
        <v>3236</v>
      </c>
      <c r="C1004" s="2" t="s">
        <v>3163</v>
      </c>
      <c r="D1004" s="2" t="s">
        <v>44</v>
      </c>
      <c r="E1004" s="2" t="s">
        <v>3237</v>
      </c>
      <c r="F1004" s="2" t="s">
        <v>140</v>
      </c>
      <c r="G1004" s="8" t="s">
        <v>3238</v>
      </c>
      <c r="H1004" s="2" t="s">
        <v>3239</v>
      </c>
      <c r="I1004" s="1" t="s">
        <v>18</v>
      </c>
      <c r="J1004" s="1" t="s">
        <v>19</v>
      </c>
      <c r="K1004" s="6" t="s">
        <v>40</v>
      </c>
      <c r="L1004" s="1"/>
    </row>
    <row r="1005" spans="1:12" ht="15.75" customHeight="1">
      <c r="A1005" s="1" t="s">
        <v>3240</v>
      </c>
      <c r="B1005" s="2" t="s">
        <v>3241</v>
      </c>
      <c r="C1005" s="2" t="s">
        <v>3242</v>
      </c>
      <c r="D1005" s="2" t="s">
        <v>59</v>
      </c>
      <c r="E1005" s="2" t="s">
        <v>3243</v>
      </c>
      <c r="F1005" s="2" t="s">
        <v>46</v>
      </c>
      <c r="G1005" s="8" t="s">
        <v>3244</v>
      </c>
      <c r="H1005" s="2" t="s">
        <v>3245</v>
      </c>
      <c r="I1005" s="1" t="s">
        <v>1125</v>
      </c>
      <c r="J1005" s="1" t="s">
        <v>50</v>
      </c>
      <c r="K1005" s="6" t="s">
        <v>40</v>
      </c>
      <c r="L1005" s="1"/>
    </row>
    <row r="1006" spans="1:12" ht="15.75" customHeight="1">
      <c r="A1006" s="1" t="s">
        <v>3246</v>
      </c>
      <c r="B1006" s="2" t="s">
        <v>3241</v>
      </c>
      <c r="C1006" s="2" t="s">
        <v>3242</v>
      </c>
      <c r="D1006" s="2" t="s">
        <v>59</v>
      </c>
      <c r="E1006" s="2" t="s">
        <v>3243</v>
      </c>
      <c r="F1006" s="2" t="s">
        <v>46</v>
      </c>
      <c r="G1006" s="8" t="s">
        <v>3244</v>
      </c>
      <c r="H1006" s="2" t="s">
        <v>3247</v>
      </c>
      <c r="I1006" s="1" t="s">
        <v>1125</v>
      </c>
      <c r="J1006" s="1" t="s">
        <v>50</v>
      </c>
      <c r="K1006" s="6" t="s">
        <v>40</v>
      </c>
      <c r="L1006" s="6"/>
    </row>
    <row r="1007" spans="1:12" ht="15.75" customHeight="1">
      <c r="A1007" s="1" t="s">
        <v>3248</v>
      </c>
      <c r="B1007" s="2" t="s">
        <v>3241</v>
      </c>
      <c r="C1007" s="2" t="s">
        <v>3242</v>
      </c>
      <c r="D1007" s="2" t="s">
        <v>59</v>
      </c>
      <c r="E1007" s="2" t="s">
        <v>3243</v>
      </c>
      <c r="F1007" s="2" t="s">
        <v>46</v>
      </c>
      <c r="G1007" s="8" t="s">
        <v>3244</v>
      </c>
      <c r="H1007" s="2" t="s">
        <v>3249</v>
      </c>
      <c r="I1007" s="1" t="s">
        <v>18</v>
      </c>
      <c r="J1007" s="1" t="s">
        <v>19</v>
      </c>
      <c r="K1007" s="6" t="s">
        <v>40</v>
      </c>
      <c r="L1007" s="1"/>
    </row>
    <row r="1008" spans="1:12" ht="15.75" customHeight="1">
      <c r="A1008" s="1" t="s">
        <v>3250</v>
      </c>
      <c r="B1008" s="2" t="s">
        <v>3251</v>
      </c>
      <c r="C1008" s="2" t="s">
        <v>3252</v>
      </c>
      <c r="D1008" s="2" t="s">
        <v>1363</v>
      </c>
      <c r="E1008" s="2" t="s">
        <v>3253</v>
      </c>
      <c r="F1008" s="2" t="s">
        <v>89</v>
      </c>
      <c r="G1008" s="8" t="s">
        <v>3254</v>
      </c>
      <c r="H1008" s="2" t="s">
        <v>3255</v>
      </c>
      <c r="I1008" s="1" t="s">
        <v>3256</v>
      </c>
      <c r="J1008" s="1" t="s">
        <v>78</v>
      </c>
      <c r="K1008" s="6" t="s">
        <v>40</v>
      </c>
      <c r="L1008" s="1"/>
    </row>
    <row r="1009" spans="1:12" ht="15.75" customHeight="1">
      <c r="A1009" s="1" t="s">
        <v>3257</v>
      </c>
      <c r="B1009" s="2" t="s">
        <v>3251</v>
      </c>
      <c r="C1009" s="2" t="s">
        <v>3252</v>
      </c>
      <c r="D1009" s="2" t="s">
        <v>1363</v>
      </c>
      <c r="E1009" s="2" t="s">
        <v>3253</v>
      </c>
      <c r="F1009" s="2" t="s">
        <v>89</v>
      </c>
      <c r="G1009" s="2" t="s">
        <v>3254</v>
      </c>
      <c r="H1009" s="2" t="s">
        <v>3258</v>
      </c>
      <c r="I1009" s="1" t="s">
        <v>3256</v>
      </c>
      <c r="J1009" s="1" t="s">
        <v>78</v>
      </c>
      <c r="K1009" s="6" t="s">
        <v>40</v>
      </c>
      <c r="L1009" s="1"/>
    </row>
    <row r="1010" spans="1:12" ht="15.75" customHeight="1">
      <c r="A1010" s="1" t="s">
        <v>3259</v>
      </c>
      <c r="B1010" s="2" t="s">
        <v>3251</v>
      </c>
      <c r="C1010" s="2" t="s">
        <v>3252</v>
      </c>
      <c r="D1010" s="2" t="s">
        <v>1363</v>
      </c>
      <c r="E1010" s="2" t="s">
        <v>3253</v>
      </c>
      <c r="F1010" s="2" t="s">
        <v>89</v>
      </c>
      <c r="G1010" s="2" t="s">
        <v>3254</v>
      </c>
      <c r="H1010" s="2" t="s">
        <v>3260</v>
      </c>
      <c r="I1010" s="1" t="s">
        <v>3256</v>
      </c>
      <c r="J1010" s="1" t="s">
        <v>78</v>
      </c>
      <c r="K1010" s="6" t="s">
        <v>40</v>
      </c>
      <c r="L1010" s="1"/>
    </row>
    <row r="1011" spans="1:12" ht="15.75" customHeight="1">
      <c r="A1011" s="1" t="s">
        <v>3261</v>
      </c>
      <c r="B1011" s="2" t="s">
        <v>3251</v>
      </c>
      <c r="C1011" s="2" t="s">
        <v>3252</v>
      </c>
      <c r="D1011" s="2" t="s">
        <v>1363</v>
      </c>
      <c r="E1011" s="2" t="s">
        <v>3253</v>
      </c>
      <c r="F1011" s="2" t="s">
        <v>89</v>
      </c>
      <c r="G1011" s="2" t="s">
        <v>3254</v>
      </c>
      <c r="H1011" s="2" t="s">
        <v>3262</v>
      </c>
      <c r="I1011" s="1" t="s">
        <v>3263</v>
      </c>
      <c r="J1011" s="1" t="s">
        <v>19</v>
      </c>
      <c r="K1011" s="6" t="s">
        <v>40</v>
      </c>
      <c r="L1011" s="1"/>
    </row>
    <row r="1012" spans="1:12" ht="15.75" customHeight="1">
      <c r="A1012" s="1" t="s">
        <v>3264</v>
      </c>
      <c r="B1012" s="2" t="s">
        <v>3251</v>
      </c>
      <c r="C1012" s="2" t="s">
        <v>3252</v>
      </c>
      <c r="D1012" s="2" t="s">
        <v>1363</v>
      </c>
      <c r="E1012" s="2" t="s">
        <v>3253</v>
      </c>
      <c r="F1012" s="2" t="s">
        <v>89</v>
      </c>
      <c r="G1012" s="2" t="s">
        <v>3254</v>
      </c>
      <c r="H1012" s="2" t="s">
        <v>3265</v>
      </c>
      <c r="I1012" s="1" t="s">
        <v>3256</v>
      </c>
      <c r="J1012" s="1" t="s">
        <v>78</v>
      </c>
      <c r="K1012" s="6" t="s">
        <v>40</v>
      </c>
      <c r="L1012" s="1"/>
    </row>
    <row r="1013" spans="1:12" ht="15.75" customHeight="1">
      <c r="A1013" s="1" t="s">
        <v>3266</v>
      </c>
      <c r="B1013" s="2" t="s">
        <v>3251</v>
      </c>
      <c r="C1013" s="2" t="s">
        <v>3252</v>
      </c>
      <c r="D1013" s="2" t="s">
        <v>1363</v>
      </c>
      <c r="E1013" s="2" t="s">
        <v>3253</v>
      </c>
      <c r="F1013" s="2" t="s">
        <v>89</v>
      </c>
      <c r="G1013" s="2" t="s">
        <v>3254</v>
      </c>
      <c r="H1013" s="2" t="s">
        <v>3267</v>
      </c>
      <c r="I1013" s="1" t="s">
        <v>3268</v>
      </c>
      <c r="J1013" s="1" t="s">
        <v>50</v>
      </c>
      <c r="K1013" s="6" t="s">
        <v>40</v>
      </c>
      <c r="L1013" s="1"/>
    </row>
    <row r="1014" spans="1:12" ht="15.75" customHeight="1">
      <c r="A1014" s="1" t="s">
        <v>3269</v>
      </c>
      <c r="B1014" s="2" t="s">
        <v>3251</v>
      </c>
      <c r="C1014" s="2" t="s">
        <v>3252</v>
      </c>
      <c r="D1014" s="2" t="s">
        <v>1363</v>
      </c>
      <c r="E1014" s="2" t="s">
        <v>3253</v>
      </c>
      <c r="F1014" s="2" t="s">
        <v>89</v>
      </c>
      <c r="G1014" s="2" t="s">
        <v>3254</v>
      </c>
      <c r="H1014" s="2" t="s">
        <v>3270</v>
      </c>
      <c r="I1014" s="1" t="s">
        <v>3256</v>
      </c>
      <c r="J1014" s="1" t="s">
        <v>78</v>
      </c>
      <c r="K1014" s="6" t="s">
        <v>40</v>
      </c>
      <c r="L1014" s="1"/>
    </row>
    <row r="1015" spans="1:12" ht="15.75" customHeight="1">
      <c r="A1015" s="1" t="s">
        <v>3271</v>
      </c>
      <c r="B1015" s="2" t="s">
        <v>3251</v>
      </c>
      <c r="C1015" s="2" t="s">
        <v>3252</v>
      </c>
      <c r="D1015" s="2" t="s">
        <v>1363</v>
      </c>
      <c r="E1015" s="2" t="s">
        <v>3253</v>
      </c>
      <c r="F1015" s="2" t="s">
        <v>89</v>
      </c>
      <c r="G1015" s="2" t="s">
        <v>3254</v>
      </c>
      <c r="H1015" s="2" t="s">
        <v>3272</v>
      </c>
      <c r="I1015" s="1" t="s">
        <v>3268</v>
      </c>
      <c r="J1015" s="1" t="s">
        <v>50</v>
      </c>
      <c r="K1015" s="6" t="s">
        <v>40</v>
      </c>
      <c r="L1015" s="1"/>
    </row>
    <row r="1016" spans="1:12" ht="15.75" customHeight="1">
      <c r="A1016" s="1" t="s">
        <v>3273</v>
      </c>
      <c r="B1016" s="2" t="s">
        <v>3251</v>
      </c>
      <c r="C1016" s="2" t="s">
        <v>3252</v>
      </c>
      <c r="D1016" s="2" t="s">
        <v>1363</v>
      </c>
      <c r="E1016" s="2" t="s">
        <v>3253</v>
      </c>
      <c r="F1016" s="2" t="s">
        <v>89</v>
      </c>
      <c r="G1016" s="2" t="s">
        <v>3254</v>
      </c>
      <c r="H1016" s="2" t="s">
        <v>3274</v>
      </c>
      <c r="I1016" s="1" t="s">
        <v>3268</v>
      </c>
      <c r="J1016" s="1" t="s">
        <v>50</v>
      </c>
      <c r="K1016" s="6" t="s">
        <v>40</v>
      </c>
      <c r="L1016" s="1"/>
    </row>
    <row r="1017" spans="1:12" ht="15.75" customHeight="1">
      <c r="A1017" s="1" t="s">
        <v>3275</v>
      </c>
      <c r="B1017" s="2" t="s">
        <v>3251</v>
      </c>
      <c r="C1017" s="2" t="s">
        <v>3252</v>
      </c>
      <c r="D1017" s="2" t="s">
        <v>1363</v>
      </c>
      <c r="E1017" s="2" t="s">
        <v>3253</v>
      </c>
      <c r="F1017" s="2" t="s">
        <v>89</v>
      </c>
      <c r="G1017" s="2" t="s">
        <v>3254</v>
      </c>
      <c r="H1017" s="2" t="s">
        <v>3276</v>
      </c>
      <c r="I1017" s="1" t="s">
        <v>3256</v>
      </c>
      <c r="J1017" s="1" t="s">
        <v>78</v>
      </c>
      <c r="K1017" s="6" t="s">
        <v>40</v>
      </c>
      <c r="L1017" s="1"/>
    </row>
    <row r="1018" spans="1:12" ht="15.75" customHeight="1">
      <c r="A1018" s="1" t="s">
        <v>3277</v>
      </c>
      <c r="B1018" s="2" t="s">
        <v>3251</v>
      </c>
      <c r="C1018" s="2" t="s">
        <v>3252</v>
      </c>
      <c r="D1018" s="2" t="s">
        <v>1363</v>
      </c>
      <c r="E1018" s="2" t="s">
        <v>3253</v>
      </c>
      <c r="F1018" s="2" t="s">
        <v>89</v>
      </c>
      <c r="G1018" s="2" t="s">
        <v>3254</v>
      </c>
      <c r="H1018" s="2" t="s">
        <v>3278</v>
      </c>
      <c r="I1018" s="1" t="s">
        <v>3268</v>
      </c>
      <c r="J1018" s="1" t="s">
        <v>50</v>
      </c>
      <c r="K1018" s="6" t="s">
        <v>40</v>
      </c>
      <c r="L1018" s="1"/>
    </row>
    <row r="1019" spans="1:12" ht="15.75" customHeight="1">
      <c r="A1019" s="1" t="s">
        <v>3279</v>
      </c>
      <c r="B1019" s="2" t="s">
        <v>3251</v>
      </c>
      <c r="C1019" s="2" t="s">
        <v>3252</v>
      </c>
      <c r="D1019" s="2" t="s">
        <v>1363</v>
      </c>
      <c r="E1019" s="2" t="s">
        <v>3253</v>
      </c>
      <c r="F1019" s="2" t="s">
        <v>89</v>
      </c>
      <c r="G1019" s="2" t="s">
        <v>3254</v>
      </c>
      <c r="H1019" s="4" t="s">
        <v>3280</v>
      </c>
      <c r="I1019" s="1" t="s">
        <v>3268</v>
      </c>
      <c r="J1019" s="1" t="s">
        <v>50</v>
      </c>
      <c r="K1019" s="6" t="s">
        <v>40</v>
      </c>
      <c r="L1019" s="1"/>
    </row>
    <row r="1020" spans="1:12" ht="15.75" customHeight="1">
      <c r="A1020" s="1" t="s">
        <v>3281</v>
      </c>
      <c r="B1020" s="2" t="s">
        <v>3282</v>
      </c>
      <c r="C1020" s="2" t="s">
        <v>3283</v>
      </c>
      <c r="D1020" s="2" t="s">
        <v>1363</v>
      </c>
      <c r="E1020" s="2" t="s">
        <v>3284</v>
      </c>
      <c r="F1020" s="2" t="s">
        <v>89</v>
      </c>
      <c r="G1020" s="8" t="s">
        <v>3285</v>
      </c>
      <c r="H1020" s="2" t="s">
        <v>3286</v>
      </c>
      <c r="I1020" s="1" t="s">
        <v>116</v>
      </c>
      <c r="J1020" s="1" t="s">
        <v>19</v>
      </c>
      <c r="K1020" s="6" t="s">
        <v>40</v>
      </c>
      <c r="L1020" s="1"/>
    </row>
    <row r="1021" spans="1:12" ht="15.75" customHeight="1">
      <c r="A1021" s="1" t="s">
        <v>3287</v>
      </c>
      <c r="B1021" s="2" t="s">
        <v>3282</v>
      </c>
      <c r="C1021" s="2" t="s">
        <v>3283</v>
      </c>
      <c r="D1021" s="2" t="s">
        <v>1363</v>
      </c>
      <c r="E1021" s="2" t="s">
        <v>3284</v>
      </c>
      <c r="F1021" s="2" t="s">
        <v>89</v>
      </c>
      <c r="G1021" s="2" t="s">
        <v>3285</v>
      </c>
      <c r="H1021" s="2" t="s">
        <v>3288</v>
      </c>
      <c r="I1021" s="1" t="s">
        <v>100</v>
      </c>
      <c r="J1021" s="1" t="s">
        <v>78</v>
      </c>
      <c r="K1021" s="6" t="s">
        <v>40</v>
      </c>
      <c r="L1021" s="1"/>
    </row>
    <row r="1022" spans="1:12" ht="15.75" customHeight="1">
      <c r="A1022" s="1" t="s">
        <v>3289</v>
      </c>
      <c r="B1022" s="2" t="s">
        <v>3282</v>
      </c>
      <c r="C1022" s="2" t="s">
        <v>3283</v>
      </c>
      <c r="D1022" s="2" t="s">
        <v>1363</v>
      </c>
      <c r="E1022" s="2" t="s">
        <v>3284</v>
      </c>
      <c r="F1022" s="2" t="s">
        <v>89</v>
      </c>
      <c r="G1022" s="2" t="s">
        <v>3285</v>
      </c>
      <c r="H1022" s="2" t="s">
        <v>3290</v>
      </c>
      <c r="I1022" s="1" t="s">
        <v>116</v>
      </c>
      <c r="J1022" s="1" t="s">
        <v>19</v>
      </c>
      <c r="K1022" s="6" t="s">
        <v>40</v>
      </c>
      <c r="L1022" s="1"/>
    </row>
    <row r="1023" spans="1:12" ht="15.75" customHeight="1">
      <c r="A1023" s="1" t="s">
        <v>3291</v>
      </c>
      <c r="B1023" s="2" t="s">
        <v>3282</v>
      </c>
      <c r="C1023" s="2" t="s">
        <v>3283</v>
      </c>
      <c r="D1023" s="2" t="s">
        <v>1363</v>
      </c>
      <c r="E1023" s="2" t="s">
        <v>3284</v>
      </c>
      <c r="F1023" s="2" t="s">
        <v>89</v>
      </c>
      <c r="G1023" s="2" t="s">
        <v>3285</v>
      </c>
      <c r="H1023" s="4" t="s">
        <v>3292</v>
      </c>
      <c r="I1023" s="1" t="s">
        <v>100</v>
      </c>
      <c r="J1023" s="1" t="s">
        <v>78</v>
      </c>
      <c r="K1023" s="6" t="s">
        <v>144</v>
      </c>
      <c r="L1023" s="6" t="s">
        <v>3293</v>
      </c>
    </row>
    <row r="1024" spans="1:12" ht="15.75" customHeight="1">
      <c r="A1024" s="1" t="s">
        <v>3294</v>
      </c>
      <c r="B1024" s="2" t="s">
        <v>3295</v>
      </c>
      <c r="C1024" s="2" t="s">
        <v>3296</v>
      </c>
      <c r="D1024" s="2" t="s">
        <v>1204</v>
      </c>
      <c r="E1024" s="2" t="s">
        <v>3297</v>
      </c>
      <c r="F1024" s="2" t="s">
        <v>140</v>
      </c>
      <c r="G1024" s="8" t="s">
        <v>3298</v>
      </c>
      <c r="H1024" s="2" t="s">
        <v>3299</v>
      </c>
      <c r="I1024" s="1" t="s">
        <v>18</v>
      </c>
      <c r="J1024" s="1" t="s">
        <v>19</v>
      </c>
      <c r="K1024" s="6" t="s">
        <v>40</v>
      </c>
      <c r="L1024" s="1"/>
    </row>
    <row r="1025" spans="1:12" ht="15.75" customHeight="1">
      <c r="A1025" s="1" t="s">
        <v>3300</v>
      </c>
      <c r="B1025" s="2" t="s">
        <v>3301</v>
      </c>
      <c r="C1025" s="2" t="s">
        <v>3296</v>
      </c>
      <c r="D1025" s="2" t="s">
        <v>1204</v>
      </c>
      <c r="E1025" s="2" t="s">
        <v>3302</v>
      </c>
      <c r="F1025" s="2" t="s">
        <v>140</v>
      </c>
      <c r="G1025" s="8" t="s">
        <v>3303</v>
      </c>
      <c r="H1025" s="4" t="s">
        <v>3304</v>
      </c>
      <c r="I1025" s="1" t="s">
        <v>83</v>
      </c>
      <c r="J1025" s="1" t="s">
        <v>35</v>
      </c>
      <c r="K1025" s="6" t="s">
        <v>40</v>
      </c>
      <c r="L1025" s="1"/>
    </row>
    <row r="1026" spans="1:12" ht="15.75" customHeight="1">
      <c r="A1026" s="1" t="s">
        <v>3305</v>
      </c>
      <c r="B1026" s="2" t="s">
        <v>3306</v>
      </c>
      <c r="C1026" s="2" t="s">
        <v>3296</v>
      </c>
      <c r="D1026" s="2" t="s">
        <v>1204</v>
      </c>
      <c r="E1026" s="2" t="s">
        <v>3307</v>
      </c>
      <c r="F1026" s="2" t="s">
        <v>157</v>
      </c>
      <c r="G1026" s="8" t="s">
        <v>3308</v>
      </c>
      <c r="H1026" s="2" t="s">
        <v>3309</v>
      </c>
      <c r="I1026" s="1" t="s">
        <v>18</v>
      </c>
      <c r="J1026" s="1" t="s">
        <v>19</v>
      </c>
      <c r="K1026" s="6" t="s">
        <v>40</v>
      </c>
      <c r="L1026" s="1"/>
    </row>
    <row r="1027" spans="1:12" ht="15.75" customHeight="1">
      <c r="A1027" s="1" t="s">
        <v>3310</v>
      </c>
      <c r="B1027" s="2" t="s">
        <v>3311</v>
      </c>
      <c r="C1027" s="2" t="s">
        <v>3296</v>
      </c>
      <c r="D1027" s="2" t="s">
        <v>1204</v>
      </c>
      <c r="E1027" s="2" t="s">
        <v>3312</v>
      </c>
      <c r="F1027" s="2" t="s">
        <v>15</v>
      </c>
      <c r="G1027" s="8" t="s">
        <v>3313</v>
      </c>
      <c r="H1027" s="2" t="s">
        <v>3314</v>
      </c>
      <c r="I1027" s="1" t="s">
        <v>18</v>
      </c>
      <c r="J1027" s="1" t="s">
        <v>19</v>
      </c>
      <c r="K1027" s="6" t="s">
        <v>40</v>
      </c>
      <c r="L1027" s="6"/>
    </row>
    <row r="1028" spans="1:12" ht="15.75" customHeight="1">
      <c r="A1028" s="1" t="s">
        <v>3315</v>
      </c>
      <c r="B1028" s="2" t="s">
        <v>3316</v>
      </c>
      <c r="C1028" s="2" t="s">
        <v>3296</v>
      </c>
      <c r="D1028" s="2" t="s">
        <v>1204</v>
      </c>
      <c r="E1028" s="2" t="s">
        <v>3317</v>
      </c>
      <c r="F1028" s="2" t="s">
        <v>157</v>
      </c>
      <c r="G1028" s="8" t="s">
        <v>3318</v>
      </c>
      <c r="H1028" s="2" t="s">
        <v>3319</v>
      </c>
      <c r="I1028" s="1" t="s">
        <v>27</v>
      </c>
      <c r="J1028" s="1" t="s">
        <v>28</v>
      </c>
      <c r="K1028" s="6" t="s">
        <v>40</v>
      </c>
      <c r="L1028" s="1"/>
    </row>
    <row r="1029" spans="1:12" ht="15.75" customHeight="1">
      <c r="A1029" s="1" t="s">
        <v>3320</v>
      </c>
      <c r="B1029" s="2" t="s">
        <v>3311</v>
      </c>
      <c r="C1029" s="2" t="s">
        <v>3296</v>
      </c>
      <c r="D1029" s="2" t="s">
        <v>1204</v>
      </c>
      <c r="E1029" s="2" t="s">
        <v>3312</v>
      </c>
      <c r="F1029" s="2" t="s">
        <v>15</v>
      </c>
      <c r="G1029" s="8" t="s">
        <v>3313</v>
      </c>
      <c r="H1029" s="2" t="s">
        <v>3321</v>
      </c>
      <c r="I1029" s="1" t="s">
        <v>18</v>
      </c>
      <c r="J1029" s="1" t="s">
        <v>19</v>
      </c>
      <c r="K1029" s="6" t="s">
        <v>40</v>
      </c>
      <c r="L1029" s="6"/>
    </row>
    <row r="1030" spans="1:12" ht="15.75" customHeight="1">
      <c r="A1030" s="1" t="s">
        <v>3322</v>
      </c>
      <c r="B1030" s="2" t="s">
        <v>3301</v>
      </c>
      <c r="C1030" s="2" t="s">
        <v>3296</v>
      </c>
      <c r="D1030" s="2" t="s">
        <v>1204</v>
      </c>
      <c r="E1030" s="2" t="s">
        <v>3302</v>
      </c>
      <c r="F1030" s="2" t="s">
        <v>140</v>
      </c>
      <c r="G1030" s="8" t="s">
        <v>3303</v>
      </c>
      <c r="H1030" s="2" t="s">
        <v>3323</v>
      </c>
      <c r="I1030" s="1" t="s">
        <v>2743</v>
      </c>
      <c r="J1030" s="1" t="s">
        <v>19</v>
      </c>
      <c r="K1030" s="6" t="s">
        <v>40</v>
      </c>
      <c r="L1030" s="1"/>
    </row>
    <row r="1031" spans="1:12" ht="15.75" customHeight="1">
      <c r="A1031" s="1" t="s">
        <v>3324</v>
      </c>
      <c r="B1031" s="2" t="s">
        <v>3295</v>
      </c>
      <c r="C1031" s="2" t="s">
        <v>3296</v>
      </c>
      <c r="D1031" s="2" t="s">
        <v>1204</v>
      </c>
      <c r="E1031" s="2" t="s">
        <v>3297</v>
      </c>
      <c r="F1031" s="2" t="s">
        <v>140</v>
      </c>
      <c r="G1031" s="8" t="s">
        <v>3298</v>
      </c>
      <c r="H1031" s="2" t="s">
        <v>3325</v>
      </c>
      <c r="I1031" s="1" t="s">
        <v>18</v>
      </c>
      <c r="J1031" s="1" t="s">
        <v>19</v>
      </c>
      <c r="K1031" s="6" t="s">
        <v>40</v>
      </c>
      <c r="L1031" s="1"/>
    </row>
    <row r="1032" spans="1:12" ht="15.75" customHeight="1">
      <c r="A1032" s="1" t="s">
        <v>3326</v>
      </c>
      <c r="B1032" s="2" t="s">
        <v>3316</v>
      </c>
      <c r="C1032" s="2" t="s">
        <v>3296</v>
      </c>
      <c r="D1032" s="2" t="s">
        <v>1204</v>
      </c>
      <c r="E1032" s="2" t="s">
        <v>3317</v>
      </c>
      <c r="F1032" s="2" t="s">
        <v>157</v>
      </c>
      <c r="G1032" s="8" t="s">
        <v>3318</v>
      </c>
      <c r="H1032" s="2" t="s">
        <v>3327</v>
      </c>
      <c r="I1032" s="1" t="s">
        <v>34</v>
      </c>
      <c r="J1032" s="1" t="s">
        <v>35</v>
      </c>
      <c r="K1032" s="6" t="s">
        <v>40</v>
      </c>
      <c r="L1032" s="1"/>
    </row>
    <row r="1033" spans="1:12" ht="15.75" customHeight="1">
      <c r="A1033" s="1" t="s">
        <v>3328</v>
      </c>
      <c r="B1033" s="2" t="s">
        <v>3329</v>
      </c>
      <c r="C1033" s="2" t="s">
        <v>3296</v>
      </c>
      <c r="D1033" s="2" t="s">
        <v>1204</v>
      </c>
      <c r="E1033" s="2" t="s">
        <v>3330</v>
      </c>
      <c r="F1033" s="2" t="s">
        <v>24</v>
      </c>
      <c r="G1033" s="8" t="s">
        <v>3331</v>
      </c>
      <c r="H1033" s="2" t="s">
        <v>3332</v>
      </c>
      <c r="I1033" s="1" t="s">
        <v>143</v>
      </c>
      <c r="J1033" s="1" t="s">
        <v>28</v>
      </c>
      <c r="K1033" s="6" t="s">
        <v>144</v>
      </c>
      <c r="L1033" s="20" t="s">
        <v>3879</v>
      </c>
    </row>
    <row r="1034" spans="1:12" ht="15.75" customHeight="1">
      <c r="A1034" s="1" t="s">
        <v>3333</v>
      </c>
      <c r="B1034" s="2" t="s">
        <v>3334</v>
      </c>
      <c r="C1034" s="2" t="s">
        <v>3296</v>
      </c>
      <c r="D1034" s="2" t="s">
        <v>1204</v>
      </c>
      <c r="E1034" s="2" t="s">
        <v>3335</v>
      </c>
      <c r="F1034" s="2" t="s">
        <v>15</v>
      </c>
      <c r="G1034" s="8" t="s">
        <v>3336</v>
      </c>
      <c r="H1034" s="2" t="s">
        <v>3337</v>
      </c>
      <c r="I1034" s="1" t="s">
        <v>18</v>
      </c>
      <c r="J1034" s="1" t="s">
        <v>19</v>
      </c>
      <c r="K1034" s="6" t="s">
        <v>40</v>
      </c>
      <c r="L1034" s="1"/>
    </row>
    <row r="1035" spans="1:12" ht="15.75" customHeight="1">
      <c r="A1035" s="1" t="s">
        <v>3338</v>
      </c>
      <c r="B1035" s="2" t="s">
        <v>3334</v>
      </c>
      <c r="C1035" s="2" t="s">
        <v>3296</v>
      </c>
      <c r="D1035" s="2" t="s">
        <v>1204</v>
      </c>
      <c r="E1035" s="2" t="s">
        <v>3335</v>
      </c>
      <c r="F1035" s="2" t="s">
        <v>15</v>
      </c>
      <c r="G1035" s="8" t="s">
        <v>3336</v>
      </c>
      <c r="H1035" s="2" t="s">
        <v>3339</v>
      </c>
      <c r="I1035" s="1" t="s">
        <v>351</v>
      </c>
      <c r="J1035" s="1" t="s">
        <v>28</v>
      </c>
      <c r="K1035" s="11" t="s">
        <v>40</v>
      </c>
      <c r="L1035" s="1"/>
    </row>
    <row r="1036" spans="1:12" ht="15.75" customHeight="1">
      <c r="A1036" s="1" t="s">
        <v>3340</v>
      </c>
      <c r="B1036" s="2" t="s">
        <v>3341</v>
      </c>
      <c r="C1036" s="2" t="s">
        <v>3296</v>
      </c>
      <c r="D1036" s="2" t="s">
        <v>1204</v>
      </c>
      <c r="E1036" s="12" t="s">
        <v>3342</v>
      </c>
      <c r="F1036" s="12">
        <v>2018</v>
      </c>
      <c r="G1036" s="13" t="s">
        <v>3343</v>
      </c>
      <c r="H1036" s="2" t="s">
        <v>3344</v>
      </c>
      <c r="I1036" s="1" t="s">
        <v>34</v>
      </c>
      <c r="J1036" s="1" t="s">
        <v>35</v>
      </c>
      <c r="K1036" s="11" t="s">
        <v>40</v>
      </c>
      <c r="L1036" s="1"/>
    </row>
    <row r="1037" spans="1:12" ht="15.75" customHeight="1">
      <c r="A1037" s="1" t="s">
        <v>3345</v>
      </c>
      <c r="B1037" s="2" t="s">
        <v>3346</v>
      </c>
      <c r="C1037" s="2" t="s">
        <v>3296</v>
      </c>
      <c r="D1037" s="2" t="s">
        <v>1204</v>
      </c>
      <c r="E1037" s="2" t="s">
        <v>3347</v>
      </c>
      <c r="F1037" s="2" t="s">
        <v>264</v>
      </c>
      <c r="G1037" s="8" t="s">
        <v>3348</v>
      </c>
      <c r="H1037" s="4" t="s">
        <v>3349</v>
      </c>
      <c r="I1037" s="1" t="s">
        <v>34</v>
      </c>
      <c r="J1037" s="1" t="s">
        <v>35</v>
      </c>
      <c r="K1037" s="11" t="s">
        <v>40</v>
      </c>
      <c r="L1037" s="1"/>
    </row>
    <row r="1038" spans="1:12" ht="15.75" customHeight="1">
      <c r="A1038" s="1" t="s">
        <v>3350</v>
      </c>
      <c r="B1038" s="2" t="s">
        <v>3316</v>
      </c>
      <c r="C1038" s="2" t="s">
        <v>3296</v>
      </c>
      <c r="D1038" s="2" t="s">
        <v>1204</v>
      </c>
      <c r="E1038" s="2" t="s">
        <v>3317</v>
      </c>
      <c r="F1038" s="2" t="s">
        <v>157</v>
      </c>
      <c r="G1038" s="8" t="s">
        <v>3318</v>
      </c>
      <c r="H1038" s="2" t="s">
        <v>3351</v>
      </c>
      <c r="I1038" s="1" t="s">
        <v>18</v>
      </c>
      <c r="J1038" s="1" t="s">
        <v>19</v>
      </c>
      <c r="K1038" s="11" t="s">
        <v>40</v>
      </c>
      <c r="L1038" s="1"/>
    </row>
    <row r="1039" spans="1:12" ht="15.75" customHeight="1">
      <c r="A1039" s="1" t="s">
        <v>3352</v>
      </c>
      <c r="B1039" s="2" t="s">
        <v>3346</v>
      </c>
      <c r="C1039" s="2" t="s">
        <v>3296</v>
      </c>
      <c r="D1039" s="2" t="s">
        <v>1204</v>
      </c>
      <c r="E1039" s="2" t="s">
        <v>3347</v>
      </c>
      <c r="F1039" s="2" t="s">
        <v>264</v>
      </c>
      <c r="G1039" s="8" t="s">
        <v>3348</v>
      </c>
      <c r="H1039" s="2" t="s">
        <v>3353</v>
      </c>
      <c r="I1039" s="1" t="s">
        <v>34</v>
      </c>
      <c r="J1039" s="1" t="s">
        <v>35</v>
      </c>
      <c r="K1039" s="11" t="s">
        <v>40</v>
      </c>
      <c r="L1039" s="1"/>
    </row>
    <row r="1040" spans="1:12" ht="15.75" customHeight="1">
      <c r="A1040" s="1" t="s">
        <v>3354</v>
      </c>
      <c r="B1040" s="2" t="s">
        <v>3301</v>
      </c>
      <c r="C1040" s="2" t="s">
        <v>3296</v>
      </c>
      <c r="D1040" s="2" t="s">
        <v>1204</v>
      </c>
      <c r="E1040" s="2" t="s">
        <v>3302</v>
      </c>
      <c r="F1040" s="2" t="s">
        <v>140</v>
      </c>
      <c r="G1040" s="8" t="s">
        <v>3303</v>
      </c>
      <c r="H1040" s="4" t="s">
        <v>3355</v>
      </c>
      <c r="I1040" s="1" t="s">
        <v>83</v>
      </c>
      <c r="J1040" s="1" t="s">
        <v>35</v>
      </c>
      <c r="K1040" s="11" t="s">
        <v>40</v>
      </c>
      <c r="L1040" s="1"/>
    </row>
    <row r="1041" spans="1:12" ht="15.75" customHeight="1">
      <c r="A1041" s="1" t="s">
        <v>3356</v>
      </c>
      <c r="B1041" s="2" t="s">
        <v>3316</v>
      </c>
      <c r="C1041" s="2" t="s">
        <v>3296</v>
      </c>
      <c r="D1041" s="2" t="s">
        <v>1204</v>
      </c>
      <c r="E1041" s="2" t="s">
        <v>3317</v>
      </c>
      <c r="F1041" s="2" t="s">
        <v>157</v>
      </c>
      <c r="G1041" s="8" t="s">
        <v>3318</v>
      </c>
      <c r="H1041" s="4" t="s">
        <v>3357</v>
      </c>
      <c r="I1041" s="1" t="s">
        <v>18</v>
      </c>
      <c r="J1041" s="1" t="s">
        <v>19</v>
      </c>
      <c r="K1041" s="11" t="s">
        <v>40</v>
      </c>
      <c r="L1041" s="1"/>
    </row>
    <row r="1042" spans="1:12" ht="15.75" customHeight="1">
      <c r="A1042" s="1" t="s">
        <v>3358</v>
      </c>
      <c r="B1042" s="2" t="s">
        <v>3359</v>
      </c>
      <c r="C1042" s="2" t="s">
        <v>3296</v>
      </c>
      <c r="D1042" s="2" t="s">
        <v>1204</v>
      </c>
      <c r="E1042" s="2" t="s">
        <v>3360</v>
      </c>
      <c r="F1042" s="2" t="s">
        <v>61</v>
      </c>
      <c r="G1042" s="8" t="s">
        <v>3361</v>
      </c>
      <c r="H1042" s="4" t="s">
        <v>3362</v>
      </c>
      <c r="I1042" s="1" t="s">
        <v>351</v>
      </c>
      <c r="J1042" s="1" t="s">
        <v>28</v>
      </c>
      <c r="K1042" s="11" t="s">
        <v>40</v>
      </c>
      <c r="L1042" s="1"/>
    </row>
    <row r="1043" spans="1:12" ht="15.75" customHeight="1">
      <c r="A1043" s="1" t="s">
        <v>3363</v>
      </c>
      <c r="B1043" s="2" t="s">
        <v>3364</v>
      </c>
      <c r="C1043" s="2" t="s">
        <v>3296</v>
      </c>
      <c r="D1043" s="2" t="s">
        <v>1204</v>
      </c>
      <c r="E1043" s="2" t="s">
        <v>3365</v>
      </c>
      <c r="F1043" s="2" t="s">
        <v>180</v>
      </c>
      <c r="G1043" s="2" t="s">
        <v>3366</v>
      </c>
      <c r="H1043" s="2" t="s">
        <v>3367</v>
      </c>
      <c r="I1043" s="1" t="s">
        <v>34</v>
      </c>
      <c r="J1043" s="1" t="s">
        <v>35</v>
      </c>
      <c r="K1043" s="14" t="s">
        <v>40</v>
      </c>
      <c r="L1043" s="1"/>
    </row>
    <row r="1044" spans="1:12" ht="15.75" customHeight="1">
      <c r="A1044" s="1" t="s">
        <v>3368</v>
      </c>
      <c r="B1044" s="2" t="s">
        <v>3369</v>
      </c>
      <c r="C1044" s="2" t="s">
        <v>3296</v>
      </c>
      <c r="D1044" s="2" t="s">
        <v>1204</v>
      </c>
      <c r="E1044" s="2" t="s">
        <v>3370</v>
      </c>
      <c r="F1044" s="2" t="s">
        <v>24</v>
      </c>
      <c r="G1044" s="2" t="s">
        <v>3371</v>
      </c>
      <c r="H1044" s="2" t="s">
        <v>3372</v>
      </c>
      <c r="I1044" s="1" t="s">
        <v>18</v>
      </c>
      <c r="J1044" s="1" t="s">
        <v>19</v>
      </c>
      <c r="K1044" s="14" t="s">
        <v>40</v>
      </c>
      <c r="L1044" s="1"/>
    </row>
    <row r="1045" spans="1:12" ht="15.75" customHeight="1">
      <c r="A1045" s="1" t="s">
        <v>3373</v>
      </c>
      <c r="B1045" s="2" t="s">
        <v>3374</v>
      </c>
      <c r="C1045" s="2" t="s">
        <v>3296</v>
      </c>
      <c r="D1045" s="2" t="s">
        <v>1204</v>
      </c>
      <c r="E1045" s="2" t="s">
        <v>3375</v>
      </c>
      <c r="F1045" s="2" t="s">
        <v>15</v>
      </c>
      <c r="G1045" s="2" t="s">
        <v>3376</v>
      </c>
      <c r="H1045" s="2" t="s">
        <v>3377</v>
      </c>
      <c r="I1045" s="1" t="s">
        <v>351</v>
      </c>
      <c r="J1045" s="1" t="s">
        <v>28</v>
      </c>
      <c r="K1045" s="14" t="s">
        <v>40</v>
      </c>
      <c r="L1045" s="1"/>
    </row>
    <row r="1046" spans="1:12" ht="15.75" customHeight="1">
      <c r="A1046" s="1" t="s">
        <v>3378</v>
      </c>
      <c r="B1046" s="2" t="s">
        <v>3346</v>
      </c>
      <c r="C1046" s="2" t="s">
        <v>3296</v>
      </c>
      <c r="D1046" s="2" t="s">
        <v>1204</v>
      </c>
      <c r="E1046" s="2" t="s">
        <v>3347</v>
      </c>
      <c r="F1046" s="2" t="s">
        <v>264</v>
      </c>
      <c r="G1046" s="2" t="s">
        <v>3348</v>
      </c>
      <c r="H1046" s="2" t="s">
        <v>3379</v>
      </c>
      <c r="I1046" s="1" t="s">
        <v>34</v>
      </c>
      <c r="J1046" s="1" t="s">
        <v>35</v>
      </c>
      <c r="K1046" s="14" t="s">
        <v>40</v>
      </c>
      <c r="L1046" s="1"/>
    </row>
    <row r="1047" spans="1:12" ht="15.75" customHeight="1">
      <c r="A1047" s="1" t="s">
        <v>3380</v>
      </c>
      <c r="B1047" s="2" t="s">
        <v>3381</v>
      </c>
      <c r="C1047" s="2" t="s">
        <v>3296</v>
      </c>
      <c r="D1047" s="2" t="s">
        <v>1204</v>
      </c>
      <c r="E1047" s="2" t="s">
        <v>3382</v>
      </c>
      <c r="F1047" s="2" t="s">
        <v>24</v>
      </c>
      <c r="G1047" s="2" t="s">
        <v>3383</v>
      </c>
      <c r="H1047" s="2" t="s">
        <v>3384</v>
      </c>
      <c r="I1047" s="1" t="s">
        <v>1349</v>
      </c>
      <c r="J1047" s="1" t="s">
        <v>50</v>
      </c>
      <c r="K1047" s="14" t="s">
        <v>40</v>
      </c>
      <c r="L1047" s="1"/>
    </row>
    <row r="1048" spans="1:12" ht="15.75" customHeight="1">
      <c r="A1048" s="1" t="s">
        <v>3385</v>
      </c>
      <c r="B1048" s="2" t="s">
        <v>3295</v>
      </c>
      <c r="C1048" s="2" t="s">
        <v>3296</v>
      </c>
      <c r="D1048" s="2" t="s">
        <v>1204</v>
      </c>
      <c r="E1048" s="2" t="s">
        <v>3297</v>
      </c>
      <c r="F1048" s="2" t="s">
        <v>140</v>
      </c>
      <c r="G1048" s="2" t="s">
        <v>3298</v>
      </c>
      <c r="H1048" s="2" t="s">
        <v>3386</v>
      </c>
      <c r="I1048" s="1" t="s">
        <v>18</v>
      </c>
      <c r="J1048" s="1" t="s">
        <v>19</v>
      </c>
      <c r="K1048" s="14" t="s">
        <v>40</v>
      </c>
      <c r="L1048" s="1"/>
    </row>
    <row r="1049" spans="1:12" ht="15.75" customHeight="1">
      <c r="A1049" s="1" t="s">
        <v>3387</v>
      </c>
      <c r="B1049" s="2" t="s">
        <v>3306</v>
      </c>
      <c r="C1049" s="2" t="s">
        <v>3296</v>
      </c>
      <c r="D1049" s="2" t="s">
        <v>1204</v>
      </c>
      <c r="E1049" s="2" t="s">
        <v>3307</v>
      </c>
      <c r="F1049" s="2" t="s">
        <v>157</v>
      </c>
      <c r="G1049" s="2" t="s">
        <v>3308</v>
      </c>
      <c r="H1049" s="2" t="s">
        <v>3388</v>
      </c>
      <c r="I1049" s="1" t="s">
        <v>34</v>
      </c>
      <c r="J1049" s="1" t="s">
        <v>35</v>
      </c>
      <c r="K1049" s="14" t="s">
        <v>40</v>
      </c>
      <c r="L1049" s="1"/>
    </row>
    <row r="1050" spans="1:12" ht="15.75" customHeight="1">
      <c r="A1050" s="1" t="s">
        <v>3389</v>
      </c>
      <c r="B1050" s="2" t="s">
        <v>3346</v>
      </c>
      <c r="C1050" s="2" t="s">
        <v>3296</v>
      </c>
      <c r="D1050" s="2" t="s">
        <v>1204</v>
      </c>
      <c r="E1050" s="2" t="s">
        <v>3347</v>
      </c>
      <c r="F1050" s="2" t="s">
        <v>264</v>
      </c>
      <c r="G1050" s="2" t="s">
        <v>3348</v>
      </c>
      <c r="H1050" s="2" t="s">
        <v>3390</v>
      </c>
      <c r="I1050" s="1" t="s">
        <v>160</v>
      </c>
      <c r="J1050" s="1" t="s">
        <v>78</v>
      </c>
      <c r="K1050" s="14" t="s">
        <v>40</v>
      </c>
      <c r="L1050" s="1"/>
    </row>
    <row r="1051" spans="1:12" ht="15.75" customHeight="1">
      <c r="A1051" s="1" t="s">
        <v>3391</v>
      </c>
      <c r="B1051" s="2" t="s">
        <v>3329</v>
      </c>
      <c r="C1051" s="2" t="s">
        <v>3296</v>
      </c>
      <c r="D1051" s="2" t="s">
        <v>1204</v>
      </c>
      <c r="E1051" s="2" t="s">
        <v>3330</v>
      </c>
      <c r="F1051" s="2" t="s">
        <v>24</v>
      </c>
      <c r="G1051" s="2" t="s">
        <v>3331</v>
      </c>
      <c r="H1051" s="2" t="s">
        <v>3392</v>
      </c>
      <c r="I1051" s="1" t="s">
        <v>100</v>
      </c>
      <c r="J1051" s="1" t="s">
        <v>78</v>
      </c>
      <c r="K1051" s="14" t="s">
        <v>40</v>
      </c>
      <c r="L1051" s="1"/>
    </row>
    <row r="1052" spans="1:12" ht="15.75" customHeight="1">
      <c r="A1052" s="1" t="s">
        <v>3393</v>
      </c>
      <c r="B1052" s="2" t="s">
        <v>3329</v>
      </c>
      <c r="C1052" s="2" t="s">
        <v>3296</v>
      </c>
      <c r="D1052" s="2" t="s">
        <v>1204</v>
      </c>
      <c r="E1052" s="2" t="s">
        <v>3330</v>
      </c>
      <c r="F1052" s="2" t="s">
        <v>24</v>
      </c>
      <c r="G1052" s="2" t="s">
        <v>3331</v>
      </c>
      <c r="H1052" s="2" t="s">
        <v>3394</v>
      </c>
      <c r="I1052" s="1" t="s">
        <v>100</v>
      </c>
      <c r="J1052" s="1" t="s">
        <v>78</v>
      </c>
      <c r="K1052" s="14" t="s">
        <v>40</v>
      </c>
      <c r="L1052" s="1"/>
    </row>
    <row r="1053" spans="1:12" ht="15.75" customHeight="1">
      <c r="A1053" s="1" t="s">
        <v>3395</v>
      </c>
      <c r="B1053" s="2" t="s">
        <v>3306</v>
      </c>
      <c r="C1053" s="2" t="s">
        <v>3296</v>
      </c>
      <c r="D1053" s="2" t="s">
        <v>1204</v>
      </c>
      <c r="E1053" s="2" t="s">
        <v>3307</v>
      </c>
      <c r="F1053" s="2" t="s">
        <v>157</v>
      </c>
      <c r="G1053" s="2" t="s">
        <v>3308</v>
      </c>
      <c r="H1053" s="2" t="s">
        <v>3396</v>
      </c>
      <c r="I1053" s="1" t="s">
        <v>18</v>
      </c>
      <c r="J1053" s="1" t="s">
        <v>19</v>
      </c>
      <c r="K1053" s="14" t="s">
        <v>40</v>
      </c>
      <c r="L1053" s="1"/>
    </row>
    <row r="1054" spans="1:12" ht="15.75" customHeight="1">
      <c r="A1054" s="1" t="s">
        <v>3397</v>
      </c>
      <c r="B1054" s="2" t="s">
        <v>3346</v>
      </c>
      <c r="C1054" s="2" t="s">
        <v>3296</v>
      </c>
      <c r="D1054" s="2" t="s">
        <v>1204</v>
      </c>
      <c r="E1054" s="2" t="s">
        <v>3347</v>
      </c>
      <c r="F1054" s="2" t="s">
        <v>264</v>
      </c>
      <c r="G1054" s="2" t="s">
        <v>3348</v>
      </c>
      <c r="H1054" s="2" t="s">
        <v>3398</v>
      </c>
      <c r="I1054" s="1" t="s">
        <v>18</v>
      </c>
      <c r="J1054" s="1" t="s">
        <v>19</v>
      </c>
      <c r="K1054" s="14" t="s">
        <v>40</v>
      </c>
      <c r="L1054" s="1"/>
    </row>
    <row r="1055" spans="1:12" ht="15.75" customHeight="1">
      <c r="A1055" s="1" t="s">
        <v>3399</v>
      </c>
      <c r="B1055" s="2" t="s">
        <v>3400</v>
      </c>
      <c r="C1055" s="2" t="s">
        <v>3296</v>
      </c>
      <c r="D1055" s="2" t="s">
        <v>1204</v>
      </c>
      <c r="E1055" s="2" t="s">
        <v>3401</v>
      </c>
      <c r="F1055" s="2" t="s">
        <v>24</v>
      </c>
      <c r="G1055" s="2" t="s">
        <v>3402</v>
      </c>
      <c r="H1055" s="2" t="s">
        <v>3403</v>
      </c>
      <c r="I1055" s="1" t="s">
        <v>34</v>
      </c>
      <c r="J1055" s="1" t="s">
        <v>35</v>
      </c>
      <c r="K1055" s="14" t="s">
        <v>40</v>
      </c>
      <c r="L1055" s="1"/>
    </row>
    <row r="1056" spans="1:12" ht="15.75" customHeight="1">
      <c r="A1056" s="1" t="s">
        <v>3404</v>
      </c>
      <c r="B1056" s="2" t="s">
        <v>3405</v>
      </c>
      <c r="C1056" s="2" t="s">
        <v>3296</v>
      </c>
      <c r="D1056" s="2" t="s">
        <v>1204</v>
      </c>
      <c r="E1056" s="2" t="s">
        <v>3406</v>
      </c>
      <c r="F1056" s="2" t="s">
        <v>264</v>
      </c>
      <c r="G1056" s="2" t="s">
        <v>3407</v>
      </c>
      <c r="H1056" s="2" t="s">
        <v>3408</v>
      </c>
      <c r="I1056" s="1" t="s">
        <v>34</v>
      </c>
      <c r="J1056" s="1" t="s">
        <v>35</v>
      </c>
      <c r="K1056" s="14" t="s">
        <v>40</v>
      </c>
      <c r="L1056" s="1"/>
    </row>
    <row r="1057" spans="1:13" ht="15.75" customHeight="1">
      <c r="A1057" s="1" t="s">
        <v>3409</v>
      </c>
      <c r="B1057" s="2" t="s">
        <v>3410</v>
      </c>
      <c r="C1057" s="2" t="s">
        <v>3296</v>
      </c>
      <c r="D1057" s="2" t="s">
        <v>1204</v>
      </c>
      <c r="E1057" s="2" t="s">
        <v>3411</v>
      </c>
      <c r="F1057" s="2" t="s">
        <v>180</v>
      </c>
      <c r="G1057" s="2" t="s">
        <v>3412</v>
      </c>
      <c r="H1057" s="2" t="s">
        <v>3413</v>
      </c>
      <c r="I1057" s="1" t="s">
        <v>351</v>
      </c>
      <c r="J1057" s="1" t="s">
        <v>28</v>
      </c>
      <c r="K1057" s="14" t="s">
        <v>40</v>
      </c>
      <c r="L1057" s="1"/>
    </row>
    <row r="1058" spans="1:13" ht="15.75" customHeight="1">
      <c r="A1058" s="1" t="s">
        <v>3414</v>
      </c>
      <c r="B1058" s="2" t="s">
        <v>3316</v>
      </c>
      <c r="C1058" s="2" t="s">
        <v>3296</v>
      </c>
      <c r="D1058" s="2" t="s">
        <v>1204</v>
      </c>
      <c r="E1058" s="2" t="s">
        <v>3317</v>
      </c>
      <c r="F1058" s="2" t="s">
        <v>157</v>
      </c>
      <c r="G1058" s="2" t="s">
        <v>3318</v>
      </c>
      <c r="H1058" s="2" t="s">
        <v>3415</v>
      </c>
      <c r="I1058" s="1" t="s">
        <v>160</v>
      </c>
      <c r="J1058" s="1" t="s">
        <v>78</v>
      </c>
      <c r="K1058" s="14" t="s">
        <v>40</v>
      </c>
      <c r="L1058" s="1"/>
    </row>
    <row r="1059" spans="1:13" ht="15.75" customHeight="1">
      <c r="A1059" s="1" t="s">
        <v>3416</v>
      </c>
      <c r="B1059" s="2" t="s">
        <v>3341</v>
      </c>
      <c r="C1059" s="2" t="s">
        <v>3296</v>
      </c>
      <c r="D1059" s="2" t="s">
        <v>1204</v>
      </c>
      <c r="E1059" s="12" t="s">
        <v>3342</v>
      </c>
      <c r="F1059" s="12">
        <v>2018</v>
      </c>
      <c r="G1059" s="15" t="s">
        <v>3417</v>
      </c>
      <c r="H1059" s="2" t="s">
        <v>3418</v>
      </c>
      <c r="I1059" s="1" t="s">
        <v>160</v>
      </c>
      <c r="J1059" s="1" t="s">
        <v>78</v>
      </c>
      <c r="K1059" s="1" t="s">
        <v>40</v>
      </c>
      <c r="L1059" s="1"/>
    </row>
    <row r="1060" spans="1:13" ht="15.75" customHeight="1">
      <c r="A1060" s="1" t="s">
        <v>3419</v>
      </c>
      <c r="B1060" s="2" t="s">
        <v>3346</v>
      </c>
      <c r="C1060" s="2" t="s">
        <v>3296</v>
      </c>
      <c r="D1060" s="2" t="s">
        <v>1204</v>
      </c>
      <c r="E1060" s="2" t="s">
        <v>3347</v>
      </c>
      <c r="F1060" s="2" t="s">
        <v>264</v>
      </c>
      <c r="G1060" s="2" t="s">
        <v>3348</v>
      </c>
      <c r="H1060" s="2" t="s">
        <v>3420</v>
      </c>
      <c r="I1060" s="1" t="s">
        <v>34</v>
      </c>
      <c r="J1060" s="1" t="s">
        <v>35</v>
      </c>
      <c r="K1060" s="1" t="s">
        <v>40</v>
      </c>
      <c r="L1060" s="1"/>
    </row>
    <row r="1061" spans="1:13" ht="15.75" customHeight="1">
      <c r="A1061" s="1" t="s">
        <v>3421</v>
      </c>
      <c r="B1061" s="2" t="s">
        <v>3364</v>
      </c>
      <c r="C1061" s="2" t="s">
        <v>3296</v>
      </c>
      <c r="D1061" s="2" t="s">
        <v>1204</v>
      </c>
      <c r="E1061" s="2" t="s">
        <v>3365</v>
      </c>
      <c r="F1061" s="2" t="s">
        <v>180</v>
      </c>
      <c r="G1061" s="2" t="s">
        <v>3366</v>
      </c>
      <c r="H1061" s="2" t="s">
        <v>3422</v>
      </c>
      <c r="I1061" s="1" t="s">
        <v>1711</v>
      </c>
      <c r="J1061" s="1" t="s">
        <v>50</v>
      </c>
      <c r="K1061" s="1" t="s">
        <v>40</v>
      </c>
      <c r="L1061" s="1"/>
    </row>
    <row r="1062" spans="1:13" ht="15.75" customHeight="1">
      <c r="A1062" s="1" t="s">
        <v>3423</v>
      </c>
      <c r="B1062" s="2" t="s">
        <v>3306</v>
      </c>
      <c r="C1062" s="2" t="s">
        <v>3296</v>
      </c>
      <c r="D1062" s="2" t="s">
        <v>1204</v>
      </c>
      <c r="E1062" s="2" t="s">
        <v>3307</v>
      </c>
      <c r="F1062" s="2" t="s">
        <v>157</v>
      </c>
      <c r="G1062" s="2" t="s">
        <v>3308</v>
      </c>
      <c r="H1062" s="2" t="s">
        <v>3424</v>
      </c>
      <c r="I1062" s="1" t="s">
        <v>18</v>
      </c>
      <c r="J1062" s="1" t="s">
        <v>19</v>
      </c>
      <c r="K1062" s="1" t="s">
        <v>40</v>
      </c>
      <c r="L1062" s="1"/>
    </row>
    <row r="1063" spans="1:13" ht="15.75" customHeight="1">
      <c r="A1063" s="1" t="s">
        <v>3425</v>
      </c>
      <c r="B1063" s="2" t="s">
        <v>3341</v>
      </c>
      <c r="C1063" s="2" t="s">
        <v>3296</v>
      </c>
      <c r="D1063" s="2" t="s">
        <v>1204</v>
      </c>
      <c r="E1063" s="2" t="s">
        <v>3342</v>
      </c>
      <c r="F1063" s="2" t="s">
        <v>157</v>
      </c>
      <c r="G1063" s="2" t="s">
        <v>3426</v>
      </c>
      <c r="H1063" s="2" t="s">
        <v>3427</v>
      </c>
      <c r="I1063" s="1" t="s">
        <v>34</v>
      </c>
      <c r="J1063" s="1" t="s">
        <v>35</v>
      </c>
      <c r="K1063" s="1" t="s">
        <v>40</v>
      </c>
      <c r="L1063" s="1"/>
    </row>
    <row r="1064" spans="1:13" ht="15.75" customHeight="1">
      <c r="A1064" s="1" t="s">
        <v>3428</v>
      </c>
      <c r="B1064" s="2" t="s">
        <v>3429</v>
      </c>
      <c r="C1064" s="2" t="s">
        <v>3430</v>
      </c>
      <c r="D1064" s="2" t="s">
        <v>112</v>
      </c>
      <c r="E1064" s="2" t="s">
        <v>3431</v>
      </c>
      <c r="F1064" s="2" t="s">
        <v>180</v>
      </c>
      <c r="G1064" s="2" t="s">
        <v>3432</v>
      </c>
      <c r="H1064" s="2" t="s">
        <v>3433</v>
      </c>
      <c r="I1064" s="1" t="s">
        <v>3434</v>
      </c>
      <c r="J1064" s="1" t="s">
        <v>50</v>
      </c>
      <c r="K1064" s="6" t="s">
        <v>40</v>
      </c>
      <c r="L1064" s="1"/>
      <c r="M1064" s="8"/>
    </row>
    <row r="1065" spans="1:13" ht="15.75" customHeight="1">
      <c r="A1065" s="1" t="s">
        <v>3435</v>
      </c>
      <c r="B1065" s="2" t="s">
        <v>3429</v>
      </c>
      <c r="C1065" s="2" t="s">
        <v>3430</v>
      </c>
      <c r="D1065" s="2" t="s">
        <v>112</v>
      </c>
      <c r="E1065" s="2" t="s">
        <v>3431</v>
      </c>
      <c r="F1065" s="2" t="s">
        <v>180</v>
      </c>
      <c r="G1065" s="2" t="s">
        <v>3432</v>
      </c>
      <c r="H1065" s="2" t="s">
        <v>3436</v>
      </c>
      <c r="I1065" s="1" t="s">
        <v>3437</v>
      </c>
      <c r="J1065" s="1" t="s">
        <v>35</v>
      </c>
      <c r="K1065" s="6" t="s">
        <v>40</v>
      </c>
      <c r="L1065" s="1"/>
      <c r="M1065" s="8"/>
    </row>
    <row r="1066" spans="1:13" ht="15.75" customHeight="1">
      <c r="A1066" s="1" t="s">
        <v>3438</v>
      </c>
      <c r="B1066" s="2" t="s">
        <v>3429</v>
      </c>
      <c r="C1066" s="2" t="s">
        <v>3430</v>
      </c>
      <c r="D1066" s="2" t="s">
        <v>112</v>
      </c>
      <c r="E1066" s="2" t="s">
        <v>3431</v>
      </c>
      <c r="F1066" s="2" t="s">
        <v>180</v>
      </c>
      <c r="G1066" s="2" t="s">
        <v>3432</v>
      </c>
      <c r="H1066" s="2" t="s">
        <v>3439</v>
      </c>
      <c r="I1066" s="1" t="s">
        <v>3434</v>
      </c>
      <c r="J1066" s="1" t="s">
        <v>50</v>
      </c>
      <c r="K1066" s="6" t="s">
        <v>40</v>
      </c>
      <c r="L1066" s="1"/>
      <c r="M1066" s="8"/>
    </row>
    <row r="1067" spans="1:13" ht="15.75" customHeight="1">
      <c r="A1067" s="1" t="s">
        <v>3440</v>
      </c>
      <c r="B1067" s="2" t="s">
        <v>3441</v>
      </c>
      <c r="C1067" s="2" t="s">
        <v>3442</v>
      </c>
      <c r="D1067" s="2" t="s">
        <v>1226</v>
      </c>
      <c r="E1067" s="2" t="s">
        <v>3443</v>
      </c>
      <c r="F1067" s="2" t="s">
        <v>126</v>
      </c>
      <c r="G1067" s="2" t="s">
        <v>3444</v>
      </c>
      <c r="H1067" s="2" t="s">
        <v>3445</v>
      </c>
      <c r="I1067" s="1" t="s">
        <v>798</v>
      </c>
      <c r="J1067" s="1" t="s">
        <v>19</v>
      </c>
      <c r="K1067" s="1" t="s">
        <v>40</v>
      </c>
      <c r="L1067" s="1"/>
    </row>
    <row r="1068" spans="1:13" ht="15.75" customHeight="1">
      <c r="A1068" s="1" t="s">
        <v>3446</v>
      </c>
      <c r="B1068" s="2" t="s">
        <v>3441</v>
      </c>
      <c r="C1068" s="2" t="s">
        <v>3442</v>
      </c>
      <c r="D1068" s="2" t="s">
        <v>1226</v>
      </c>
      <c r="E1068" s="2" t="s">
        <v>3443</v>
      </c>
      <c r="F1068" s="2" t="s">
        <v>126</v>
      </c>
      <c r="G1068" s="2" t="s">
        <v>3444</v>
      </c>
      <c r="H1068" s="2" t="s">
        <v>3447</v>
      </c>
      <c r="I1068" s="1" t="s">
        <v>798</v>
      </c>
      <c r="J1068" s="1" t="s">
        <v>19</v>
      </c>
      <c r="K1068" s="1" t="s">
        <v>40</v>
      </c>
      <c r="L1068" s="1"/>
    </row>
    <row r="1069" spans="1:13" ht="15.75" customHeight="1">
      <c r="A1069" s="1" t="s">
        <v>3448</v>
      </c>
      <c r="B1069" s="2" t="s">
        <v>3449</v>
      </c>
      <c r="C1069" s="2" t="s">
        <v>3442</v>
      </c>
      <c r="D1069" s="2" t="s">
        <v>1226</v>
      </c>
      <c r="E1069" s="2" t="s">
        <v>3450</v>
      </c>
      <c r="F1069" s="2" t="s">
        <v>15</v>
      </c>
      <c r="G1069" s="2" t="s">
        <v>3451</v>
      </c>
      <c r="H1069" s="2" t="s">
        <v>3452</v>
      </c>
      <c r="I1069" s="1" t="s">
        <v>351</v>
      </c>
      <c r="J1069" s="1" t="s">
        <v>28</v>
      </c>
      <c r="K1069" s="1" t="s">
        <v>40</v>
      </c>
      <c r="L1069" s="1"/>
    </row>
    <row r="1070" spans="1:13" ht="15.75" customHeight="1">
      <c r="A1070" s="1" t="s">
        <v>3453</v>
      </c>
      <c r="B1070" s="2" t="s">
        <v>3454</v>
      </c>
      <c r="C1070" s="2" t="s">
        <v>3455</v>
      </c>
      <c r="D1070" s="2" t="s">
        <v>44</v>
      </c>
      <c r="E1070" s="2" t="s">
        <v>3456</v>
      </c>
      <c r="F1070" s="2" t="s">
        <v>15</v>
      </c>
      <c r="G1070" s="2" t="s">
        <v>3457</v>
      </c>
      <c r="H1070" s="2" t="s">
        <v>3458</v>
      </c>
      <c r="I1070" s="1" t="s">
        <v>116</v>
      </c>
      <c r="J1070" s="1" t="s">
        <v>35</v>
      </c>
      <c r="K1070" s="1" t="s">
        <v>40</v>
      </c>
      <c r="L1070" s="1"/>
    </row>
    <row r="1071" spans="1:13" ht="15.75" customHeight="1">
      <c r="A1071" s="1" t="s">
        <v>3459</v>
      </c>
      <c r="B1071" s="2" t="s">
        <v>3454</v>
      </c>
      <c r="C1071" s="2" t="s">
        <v>3455</v>
      </c>
      <c r="D1071" s="2" t="s">
        <v>44</v>
      </c>
      <c r="E1071" s="2" t="s">
        <v>3456</v>
      </c>
      <c r="F1071" s="2" t="s">
        <v>15</v>
      </c>
      <c r="G1071" s="2" t="s">
        <v>3457</v>
      </c>
      <c r="H1071" s="2" t="s">
        <v>3460</v>
      </c>
      <c r="I1071" s="1" t="s">
        <v>143</v>
      </c>
      <c r="J1071" s="1" t="s">
        <v>28</v>
      </c>
      <c r="K1071" s="1" t="s">
        <v>40</v>
      </c>
      <c r="L1071" s="1"/>
    </row>
    <row r="1072" spans="1:13" ht="15.75" customHeight="1">
      <c r="A1072" s="1" t="s">
        <v>3461</v>
      </c>
      <c r="B1072" s="2" t="s">
        <v>3454</v>
      </c>
      <c r="C1072" s="2" t="s">
        <v>3455</v>
      </c>
      <c r="D1072" s="2" t="s">
        <v>44</v>
      </c>
      <c r="E1072" s="2" t="s">
        <v>3456</v>
      </c>
      <c r="F1072" s="2" t="s">
        <v>15</v>
      </c>
      <c r="G1072" s="2" t="s">
        <v>3457</v>
      </c>
      <c r="H1072" s="2" t="s">
        <v>3462</v>
      </c>
      <c r="I1072" s="1" t="s">
        <v>116</v>
      </c>
      <c r="J1072" s="1" t="s">
        <v>35</v>
      </c>
      <c r="K1072" s="1" t="s">
        <v>40</v>
      </c>
      <c r="L1072" s="1"/>
    </row>
    <row r="1073" spans="1:12" ht="15.75" customHeight="1">
      <c r="A1073" s="1" t="s">
        <v>3463</v>
      </c>
      <c r="B1073" s="2" t="s">
        <v>3464</v>
      </c>
      <c r="C1073" s="2" t="s">
        <v>3465</v>
      </c>
      <c r="D1073" s="2" t="s">
        <v>1988</v>
      </c>
      <c r="E1073" s="2" t="s">
        <v>3466</v>
      </c>
      <c r="F1073" s="2" t="s">
        <v>15</v>
      </c>
      <c r="G1073" s="2" t="s">
        <v>3467</v>
      </c>
      <c r="H1073" s="2" t="s">
        <v>3468</v>
      </c>
      <c r="I1073" s="1" t="s">
        <v>143</v>
      </c>
      <c r="J1073" s="1" t="s">
        <v>35</v>
      </c>
      <c r="K1073" s="1" t="s">
        <v>40</v>
      </c>
      <c r="L1073" s="1"/>
    </row>
    <row r="1074" spans="1:12" ht="15.75" customHeight="1">
      <c r="A1074" s="1" t="s">
        <v>3469</v>
      </c>
      <c r="B1074" s="2" t="s">
        <v>3464</v>
      </c>
      <c r="C1074" s="2" t="s">
        <v>3465</v>
      </c>
      <c r="D1074" s="2" t="s">
        <v>1988</v>
      </c>
      <c r="E1074" s="2" t="s">
        <v>3466</v>
      </c>
      <c r="F1074" s="2" t="s">
        <v>15</v>
      </c>
      <c r="G1074" s="2" t="s">
        <v>3467</v>
      </c>
      <c r="H1074" s="2" t="s">
        <v>3470</v>
      </c>
      <c r="I1074" s="1" t="s">
        <v>143</v>
      </c>
      <c r="J1074" s="1" t="s">
        <v>35</v>
      </c>
      <c r="K1074" s="1" t="s">
        <v>40</v>
      </c>
      <c r="L1074" s="1"/>
    </row>
    <row r="1075" spans="1:12" ht="15.75" customHeight="1">
      <c r="A1075" s="1" t="s">
        <v>3471</v>
      </c>
      <c r="B1075" s="2" t="s">
        <v>3472</v>
      </c>
      <c r="C1075" s="2" t="s">
        <v>3465</v>
      </c>
      <c r="D1075" s="2" t="s">
        <v>1988</v>
      </c>
      <c r="E1075" s="2" t="s">
        <v>3473</v>
      </c>
      <c r="F1075" s="2" t="s">
        <v>46</v>
      </c>
      <c r="G1075" s="2" t="s">
        <v>3474</v>
      </c>
      <c r="H1075" s="2" t="s">
        <v>3475</v>
      </c>
      <c r="I1075" s="1" t="s">
        <v>143</v>
      </c>
      <c r="J1075" s="1" t="s">
        <v>35</v>
      </c>
      <c r="K1075" s="1" t="s">
        <v>40</v>
      </c>
      <c r="L1075" s="1"/>
    </row>
    <row r="1076" spans="1:12" ht="15.75" customHeight="1">
      <c r="A1076" s="1" t="s">
        <v>3476</v>
      </c>
      <c r="B1076" s="2" t="s">
        <v>3464</v>
      </c>
      <c r="C1076" s="2" t="s">
        <v>3465</v>
      </c>
      <c r="D1076" s="2" t="s">
        <v>1988</v>
      </c>
      <c r="E1076" s="2" t="s">
        <v>3466</v>
      </c>
      <c r="F1076" s="2" t="s">
        <v>15</v>
      </c>
      <c r="G1076" s="2" t="s">
        <v>3467</v>
      </c>
      <c r="H1076" s="2" t="s">
        <v>3477</v>
      </c>
      <c r="I1076" s="1" t="s">
        <v>143</v>
      </c>
      <c r="J1076" s="1" t="s">
        <v>35</v>
      </c>
      <c r="K1076" s="1" t="s">
        <v>40</v>
      </c>
      <c r="L1076" s="1"/>
    </row>
    <row r="1077" spans="1:12" ht="15.75" customHeight="1">
      <c r="A1077" s="1" t="s">
        <v>3478</v>
      </c>
      <c r="B1077" s="2" t="s">
        <v>3479</v>
      </c>
      <c r="C1077" s="2" t="s">
        <v>3465</v>
      </c>
      <c r="D1077" s="2" t="s">
        <v>1988</v>
      </c>
      <c r="E1077" s="2" t="s">
        <v>3480</v>
      </c>
      <c r="F1077" s="2" t="s">
        <v>126</v>
      </c>
      <c r="G1077" s="2" t="s">
        <v>3481</v>
      </c>
      <c r="H1077" s="2" t="s">
        <v>3482</v>
      </c>
      <c r="I1077" s="1" t="s">
        <v>34</v>
      </c>
      <c r="J1077" s="1" t="s">
        <v>35</v>
      </c>
      <c r="K1077" s="14" t="s">
        <v>40</v>
      </c>
      <c r="L1077" s="16"/>
    </row>
    <row r="1078" spans="1:12" ht="15.75" customHeight="1">
      <c r="A1078" s="1" t="s">
        <v>3483</v>
      </c>
      <c r="B1078" s="2" t="s">
        <v>3464</v>
      </c>
      <c r="C1078" s="2" t="s">
        <v>3465</v>
      </c>
      <c r="D1078" s="2" t="s">
        <v>1988</v>
      </c>
      <c r="E1078" s="2" t="s">
        <v>3466</v>
      </c>
      <c r="F1078" s="2" t="s">
        <v>15</v>
      </c>
      <c r="G1078" s="2" t="s">
        <v>3467</v>
      </c>
      <c r="H1078" s="2" t="s">
        <v>3484</v>
      </c>
      <c r="I1078" s="1" t="s">
        <v>1432</v>
      </c>
      <c r="J1078" s="1" t="s">
        <v>28</v>
      </c>
      <c r="K1078" s="1" t="s">
        <v>40</v>
      </c>
      <c r="L1078" s="1"/>
    </row>
    <row r="1079" spans="1:12" ht="15.75" customHeight="1">
      <c r="A1079" s="1" t="s">
        <v>3485</v>
      </c>
      <c r="B1079" s="2" t="s">
        <v>3479</v>
      </c>
      <c r="C1079" s="2" t="s">
        <v>3465</v>
      </c>
      <c r="D1079" s="2" t="s">
        <v>1988</v>
      </c>
      <c r="E1079" s="2" t="s">
        <v>3480</v>
      </c>
      <c r="F1079" s="2" t="s">
        <v>126</v>
      </c>
      <c r="G1079" s="2" t="s">
        <v>3481</v>
      </c>
      <c r="H1079" s="2" t="s">
        <v>3486</v>
      </c>
      <c r="I1079" s="1" t="s">
        <v>3487</v>
      </c>
      <c r="J1079" s="1" t="s">
        <v>50</v>
      </c>
      <c r="K1079" s="1" t="s">
        <v>40</v>
      </c>
      <c r="L1079" s="1"/>
    </row>
    <row r="1080" spans="1:12" ht="15.75" customHeight="1">
      <c r="A1080" s="1" t="s">
        <v>3488</v>
      </c>
      <c r="B1080" s="2" t="s">
        <v>3489</v>
      </c>
      <c r="C1080" s="2" t="s">
        <v>3465</v>
      </c>
      <c r="D1080" s="2" t="s">
        <v>1988</v>
      </c>
      <c r="E1080" s="2" t="s">
        <v>3490</v>
      </c>
      <c r="F1080" s="2" t="s">
        <v>46</v>
      </c>
      <c r="G1080" s="2" t="s">
        <v>3491</v>
      </c>
      <c r="H1080" s="2" t="s">
        <v>3492</v>
      </c>
      <c r="I1080" s="1" t="s">
        <v>116</v>
      </c>
      <c r="J1080" s="1" t="s">
        <v>19</v>
      </c>
      <c r="K1080" s="1" t="s">
        <v>40</v>
      </c>
      <c r="L1080" s="1"/>
    </row>
    <row r="1081" spans="1:12" ht="15.75" customHeight="1">
      <c r="A1081" s="1" t="s">
        <v>3493</v>
      </c>
      <c r="B1081" s="2" t="s">
        <v>3464</v>
      </c>
      <c r="C1081" s="2" t="s">
        <v>3465</v>
      </c>
      <c r="D1081" s="2" t="s">
        <v>1988</v>
      </c>
      <c r="E1081" s="2" t="s">
        <v>3466</v>
      </c>
      <c r="F1081" s="2" t="s">
        <v>15</v>
      </c>
      <c r="G1081" s="2" t="s">
        <v>3467</v>
      </c>
      <c r="H1081" s="2" t="s">
        <v>3494</v>
      </c>
      <c r="I1081" s="1" t="s">
        <v>1432</v>
      </c>
      <c r="J1081" s="1" t="s">
        <v>28</v>
      </c>
      <c r="K1081" s="1" t="s">
        <v>40</v>
      </c>
      <c r="L1081" s="1"/>
    </row>
    <row r="1082" spans="1:12" ht="15.75" customHeight="1">
      <c r="A1082" s="1" t="s">
        <v>3495</v>
      </c>
      <c r="B1082" s="2" t="s">
        <v>3496</v>
      </c>
      <c r="C1082" s="2" t="s">
        <v>3465</v>
      </c>
      <c r="D1082" s="2" t="s">
        <v>1988</v>
      </c>
      <c r="E1082" s="2" t="s">
        <v>3497</v>
      </c>
      <c r="F1082" s="2" t="s">
        <v>126</v>
      </c>
      <c r="G1082" s="2" t="s">
        <v>3498</v>
      </c>
      <c r="H1082" s="2" t="s">
        <v>3499</v>
      </c>
      <c r="I1082" s="1" t="s">
        <v>1432</v>
      </c>
      <c r="J1082" s="1" t="s">
        <v>28</v>
      </c>
      <c r="K1082" s="1" t="s">
        <v>40</v>
      </c>
      <c r="L1082" s="1"/>
    </row>
    <row r="1083" spans="1:12" ht="15.75" customHeight="1">
      <c r="A1083" s="1" t="s">
        <v>3500</v>
      </c>
      <c r="B1083" s="2" t="s">
        <v>3464</v>
      </c>
      <c r="C1083" s="2" t="s">
        <v>3465</v>
      </c>
      <c r="D1083" s="2" t="s">
        <v>1988</v>
      </c>
      <c r="E1083" s="2" t="s">
        <v>3466</v>
      </c>
      <c r="F1083" s="2" t="s">
        <v>15</v>
      </c>
      <c r="G1083" s="2" t="s">
        <v>3467</v>
      </c>
      <c r="H1083" s="2" t="s">
        <v>3501</v>
      </c>
      <c r="I1083" s="1" t="s">
        <v>143</v>
      </c>
      <c r="J1083" s="1" t="s">
        <v>35</v>
      </c>
      <c r="K1083" s="1" t="s">
        <v>40</v>
      </c>
      <c r="L1083" s="1"/>
    </row>
    <row r="1084" spans="1:12" ht="15.75" customHeight="1">
      <c r="A1084" s="1" t="s">
        <v>3502</v>
      </c>
      <c r="B1084" s="2" t="s">
        <v>3464</v>
      </c>
      <c r="C1084" s="2" t="s">
        <v>3465</v>
      </c>
      <c r="D1084" s="2" t="s">
        <v>1988</v>
      </c>
      <c r="E1084" s="2" t="s">
        <v>3466</v>
      </c>
      <c r="F1084" s="2" t="s">
        <v>15</v>
      </c>
      <c r="G1084" s="2" t="s">
        <v>3467</v>
      </c>
      <c r="H1084" s="2" t="s">
        <v>3503</v>
      </c>
      <c r="I1084" s="1" t="s">
        <v>116</v>
      </c>
      <c r="J1084" s="1" t="s">
        <v>19</v>
      </c>
      <c r="K1084" s="1" t="s">
        <v>40</v>
      </c>
      <c r="L1084" s="1"/>
    </row>
    <row r="1085" spans="1:12" ht="15.75" customHeight="1">
      <c r="A1085" s="1" t="s">
        <v>3504</v>
      </c>
      <c r="B1085" s="2" t="s">
        <v>3505</v>
      </c>
      <c r="C1085" s="2" t="s">
        <v>3465</v>
      </c>
      <c r="D1085" s="2" t="s">
        <v>1988</v>
      </c>
      <c r="E1085" s="2" t="s">
        <v>3506</v>
      </c>
      <c r="F1085" s="2" t="s">
        <v>157</v>
      </c>
      <c r="G1085" s="2" t="s">
        <v>3507</v>
      </c>
      <c r="H1085" s="2" t="s">
        <v>3508</v>
      </c>
      <c r="I1085" s="1" t="s">
        <v>143</v>
      </c>
      <c r="J1085" s="1" t="s">
        <v>35</v>
      </c>
      <c r="K1085" s="1" t="s">
        <v>40</v>
      </c>
      <c r="L1085" s="1"/>
    </row>
    <row r="1086" spans="1:12" ht="15.75" customHeight="1">
      <c r="A1086" s="1" t="s">
        <v>3509</v>
      </c>
      <c r="B1086" s="2" t="s">
        <v>3479</v>
      </c>
      <c r="C1086" s="2" t="s">
        <v>3465</v>
      </c>
      <c r="D1086" s="2" t="s">
        <v>1988</v>
      </c>
      <c r="E1086" s="2" t="s">
        <v>3480</v>
      </c>
      <c r="F1086" s="2" t="s">
        <v>126</v>
      </c>
      <c r="G1086" s="2" t="s">
        <v>3481</v>
      </c>
      <c r="H1086" s="2" t="s">
        <v>3510</v>
      </c>
      <c r="I1086" s="1" t="s">
        <v>351</v>
      </c>
      <c r="J1086" s="1" t="s">
        <v>28</v>
      </c>
      <c r="K1086" s="14" t="s">
        <v>40</v>
      </c>
      <c r="L1086" s="16"/>
    </row>
    <row r="1087" spans="1:12" ht="15.75" customHeight="1">
      <c r="A1087" s="1" t="s">
        <v>3511</v>
      </c>
      <c r="B1087" s="2" t="s">
        <v>3464</v>
      </c>
      <c r="C1087" s="2" t="s">
        <v>3465</v>
      </c>
      <c r="D1087" s="2" t="s">
        <v>1988</v>
      </c>
      <c r="E1087" s="2" t="s">
        <v>3466</v>
      </c>
      <c r="F1087" s="2" t="s">
        <v>15</v>
      </c>
      <c r="G1087" s="2" t="s">
        <v>3467</v>
      </c>
      <c r="H1087" s="2" t="s">
        <v>3512</v>
      </c>
      <c r="I1087" s="1" t="s">
        <v>143</v>
      </c>
      <c r="J1087" s="1" t="s">
        <v>35</v>
      </c>
      <c r="K1087" s="1" t="s">
        <v>40</v>
      </c>
      <c r="L1087" s="1"/>
    </row>
    <row r="1088" spans="1:12" ht="15.75" customHeight="1">
      <c r="A1088" s="1" t="s">
        <v>3513</v>
      </c>
      <c r="B1088" s="2" t="s">
        <v>3496</v>
      </c>
      <c r="C1088" s="2" t="s">
        <v>3465</v>
      </c>
      <c r="D1088" s="2" t="s">
        <v>1988</v>
      </c>
      <c r="E1088" s="2" t="s">
        <v>3497</v>
      </c>
      <c r="F1088" s="2" t="s">
        <v>126</v>
      </c>
      <c r="G1088" s="2" t="s">
        <v>3498</v>
      </c>
      <c r="H1088" s="2" t="s">
        <v>3514</v>
      </c>
      <c r="I1088" s="1" t="s">
        <v>116</v>
      </c>
      <c r="J1088" s="1" t="s">
        <v>19</v>
      </c>
      <c r="K1088" s="1" t="s">
        <v>40</v>
      </c>
      <c r="L1088" s="1"/>
    </row>
    <row r="1089" spans="1:12" ht="15.75" customHeight="1">
      <c r="A1089" s="1" t="s">
        <v>3515</v>
      </c>
      <c r="B1089" s="2" t="s">
        <v>3464</v>
      </c>
      <c r="C1089" s="2" t="s">
        <v>3465</v>
      </c>
      <c r="D1089" s="2" t="s">
        <v>1988</v>
      </c>
      <c r="E1089" s="2" t="s">
        <v>3466</v>
      </c>
      <c r="F1089" s="2" t="s">
        <v>15</v>
      </c>
      <c r="G1089" s="2" t="s">
        <v>3467</v>
      </c>
      <c r="H1089" s="2" t="s">
        <v>3516</v>
      </c>
      <c r="I1089" s="1" t="s">
        <v>143</v>
      </c>
      <c r="J1089" s="1" t="s">
        <v>35</v>
      </c>
      <c r="K1089" s="1" t="s">
        <v>40</v>
      </c>
      <c r="L1089" s="1"/>
    </row>
    <row r="1090" spans="1:12" ht="15.75" customHeight="1">
      <c r="A1090" s="1" t="s">
        <v>3517</v>
      </c>
      <c r="B1090" s="2" t="s">
        <v>3505</v>
      </c>
      <c r="C1090" s="2" t="s">
        <v>3465</v>
      </c>
      <c r="D1090" s="2" t="s">
        <v>1988</v>
      </c>
      <c r="E1090" s="2" t="s">
        <v>3506</v>
      </c>
      <c r="F1090" s="2" t="s">
        <v>157</v>
      </c>
      <c r="G1090" s="2" t="s">
        <v>3507</v>
      </c>
      <c r="H1090" s="2" t="s">
        <v>3518</v>
      </c>
      <c r="I1090" s="1" t="s">
        <v>1432</v>
      </c>
      <c r="J1090" s="1" t="s">
        <v>28</v>
      </c>
      <c r="K1090" s="1" t="s">
        <v>40</v>
      </c>
      <c r="L1090" s="1"/>
    </row>
    <row r="1091" spans="1:12" ht="15.75" customHeight="1">
      <c r="A1091" s="1" t="s">
        <v>3519</v>
      </c>
      <c r="B1091" s="2" t="s">
        <v>3520</v>
      </c>
      <c r="C1091" s="2" t="s">
        <v>3465</v>
      </c>
      <c r="D1091" s="2" t="s">
        <v>1988</v>
      </c>
      <c r="E1091" s="2" t="s">
        <v>3521</v>
      </c>
      <c r="F1091" s="2" t="s">
        <v>284</v>
      </c>
      <c r="G1091" s="2" t="s">
        <v>3522</v>
      </c>
      <c r="H1091" s="2" t="s">
        <v>3523</v>
      </c>
      <c r="I1091" s="1" t="s">
        <v>100</v>
      </c>
      <c r="J1091" s="1" t="s">
        <v>78</v>
      </c>
      <c r="K1091" s="1" t="s">
        <v>40</v>
      </c>
      <c r="L1091" s="1"/>
    </row>
    <row r="1092" spans="1:12" ht="15.75" customHeight="1">
      <c r="A1092" s="1" t="s">
        <v>3524</v>
      </c>
      <c r="B1092" s="2" t="s">
        <v>3464</v>
      </c>
      <c r="C1092" s="2" t="s">
        <v>3465</v>
      </c>
      <c r="D1092" s="2" t="s">
        <v>1988</v>
      </c>
      <c r="E1092" s="2" t="s">
        <v>3466</v>
      </c>
      <c r="F1092" s="2" t="s">
        <v>15</v>
      </c>
      <c r="G1092" s="2" t="s">
        <v>3467</v>
      </c>
      <c r="H1092" s="2" t="s">
        <v>3525</v>
      </c>
      <c r="I1092" s="1" t="s">
        <v>116</v>
      </c>
      <c r="J1092" s="1" t="s">
        <v>19</v>
      </c>
      <c r="K1092" s="1" t="s">
        <v>40</v>
      </c>
      <c r="L1092" s="1"/>
    </row>
    <row r="1093" spans="1:12" ht="15.75" customHeight="1">
      <c r="A1093" s="1" t="s">
        <v>3526</v>
      </c>
      <c r="B1093" s="2" t="s">
        <v>3479</v>
      </c>
      <c r="C1093" s="2" t="s">
        <v>3465</v>
      </c>
      <c r="D1093" s="2" t="s">
        <v>1988</v>
      </c>
      <c r="E1093" s="2" t="s">
        <v>3480</v>
      </c>
      <c r="F1093" s="2" t="s">
        <v>126</v>
      </c>
      <c r="G1093" s="2" t="s">
        <v>3481</v>
      </c>
      <c r="H1093" s="2" t="s">
        <v>3527</v>
      </c>
      <c r="I1093" s="1" t="s">
        <v>160</v>
      </c>
      <c r="J1093" s="1" t="s">
        <v>78</v>
      </c>
      <c r="K1093" s="14" t="s">
        <v>40</v>
      </c>
      <c r="L1093" s="16"/>
    </row>
    <row r="1094" spans="1:12" ht="15.75" customHeight="1">
      <c r="A1094" s="1" t="s">
        <v>3528</v>
      </c>
      <c r="B1094" s="2" t="s">
        <v>3529</v>
      </c>
      <c r="C1094" s="2" t="s">
        <v>3530</v>
      </c>
      <c r="D1094" s="2" t="s">
        <v>178</v>
      </c>
      <c r="E1094" s="2" t="s">
        <v>3531</v>
      </c>
      <c r="F1094" s="2" t="s">
        <v>61</v>
      </c>
      <c r="G1094" s="2" t="s">
        <v>3532</v>
      </c>
      <c r="H1094" s="2" t="s">
        <v>3533</v>
      </c>
      <c r="I1094" s="1" t="s">
        <v>3534</v>
      </c>
      <c r="J1094" s="1" t="s">
        <v>35</v>
      </c>
      <c r="K1094" s="1" t="s">
        <v>40</v>
      </c>
      <c r="L1094" s="1"/>
    </row>
    <row r="1095" spans="1:12" ht="15.75" customHeight="1">
      <c r="A1095" s="1" t="s">
        <v>3535</v>
      </c>
      <c r="B1095" s="2" t="s">
        <v>3529</v>
      </c>
      <c r="C1095" s="2" t="s">
        <v>3530</v>
      </c>
      <c r="D1095" s="2" t="s">
        <v>178</v>
      </c>
      <c r="E1095" s="2" t="s">
        <v>3531</v>
      </c>
      <c r="F1095" s="2" t="s">
        <v>61</v>
      </c>
      <c r="G1095" s="2" t="s">
        <v>3532</v>
      </c>
      <c r="H1095" s="2" t="s">
        <v>3536</v>
      </c>
      <c r="I1095" s="1" t="s">
        <v>3537</v>
      </c>
      <c r="J1095" s="1" t="s">
        <v>19</v>
      </c>
      <c r="K1095" s="1" t="s">
        <v>40</v>
      </c>
      <c r="L1095" s="1"/>
    </row>
    <row r="1096" spans="1:12" ht="15.75" customHeight="1">
      <c r="A1096" s="1" t="s">
        <v>3538</v>
      </c>
      <c r="B1096" s="2" t="s">
        <v>3529</v>
      </c>
      <c r="C1096" s="2" t="s">
        <v>3530</v>
      </c>
      <c r="D1096" s="2" t="s">
        <v>178</v>
      </c>
      <c r="E1096" s="2" t="s">
        <v>3531</v>
      </c>
      <c r="F1096" s="2" t="s">
        <v>61</v>
      </c>
      <c r="G1096" s="2" t="s">
        <v>3532</v>
      </c>
      <c r="H1096" s="2" t="s">
        <v>3539</v>
      </c>
      <c r="I1096" s="1" t="s">
        <v>3537</v>
      </c>
      <c r="J1096" s="1" t="s">
        <v>19</v>
      </c>
      <c r="K1096" s="1" t="s">
        <v>40</v>
      </c>
      <c r="L1096" s="1"/>
    </row>
    <row r="1097" spans="1:12" ht="15.75" customHeight="1">
      <c r="A1097" s="1" t="s">
        <v>3540</v>
      </c>
      <c r="B1097" s="2" t="s">
        <v>3541</v>
      </c>
      <c r="C1097" s="2" t="s">
        <v>3542</v>
      </c>
      <c r="D1097" s="2" t="s">
        <v>443</v>
      </c>
      <c r="E1097" s="2" t="s">
        <v>3543</v>
      </c>
      <c r="F1097" s="2" t="s">
        <v>140</v>
      </c>
      <c r="G1097" s="2" t="s">
        <v>3544</v>
      </c>
      <c r="H1097" s="2" t="s">
        <v>3545</v>
      </c>
      <c r="I1097" s="1" t="s">
        <v>1711</v>
      </c>
      <c r="J1097" s="1" t="s">
        <v>50</v>
      </c>
      <c r="K1097" s="1" t="s">
        <v>40</v>
      </c>
      <c r="L1097" s="1"/>
    </row>
    <row r="1098" spans="1:12" ht="15.75" customHeight="1">
      <c r="A1098" s="1" t="s">
        <v>3546</v>
      </c>
      <c r="B1098" s="2" t="s">
        <v>3547</v>
      </c>
      <c r="C1098" s="2" t="s">
        <v>3542</v>
      </c>
      <c r="D1098" s="2" t="s">
        <v>443</v>
      </c>
      <c r="E1098" s="2" t="s">
        <v>3548</v>
      </c>
      <c r="F1098" s="2" t="s">
        <v>252</v>
      </c>
      <c r="G1098" s="2" t="s">
        <v>3549</v>
      </c>
      <c r="H1098" s="2" t="s">
        <v>3550</v>
      </c>
      <c r="I1098" s="1" t="s">
        <v>1297</v>
      </c>
      <c r="J1098" s="1" t="s">
        <v>50</v>
      </c>
      <c r="K1098" s="1" t="s">
        <v>40</v>
      </c>
      <c r="L1098" s="1"/>
    </row>
    <row r="1099" spans="1:12" ht="15.75" customHeight="1">
      <c r="A1099" s="1" t="s">
        <v>3551</v>
      </c>
      <c r="B1099" s="2" t="s">
        <v>3552</v>
      </c>
      <c r="C1099" s="2" t="s">
        <v>3542</v>
      </c>
      <c r="D1099" s="2" t="s">
        <v>443</v>
      </c>
      <c r="E1099" s="2" t="s">
        <v>3553</v>
      </c>
      <c r="F1099" s="2" t="s">
        <v>264</v>
      </c>
      <c r="G1099" s="2" t="s">
        <v>3554</v>
      </c>
      <c r="H1099" s="2" t="s">
        <v>3555</v>
      </c>
      <c r="I1099" s="1" t="s">
        <v>1297</v>
      </c>
      <c r="J1099" s="1" t="s">
        <v>50</v>
      </c>
      <c r="K1099" s="1" t="s">
        <v>40</v>
      </c>
      <c r="L1099" s="1"/>
    </row>
    <row r="1100" spans="1:12" ht="15.75" customHeight="1">
      <c r="A1100" s="1" t="s">
        <v>3556</v>
      </c>
      <c r="B1100" s="2" t="s">
        <v>3557</v>
      </c>
      <c r="C1100" s="2" t="s">
        <v>3542</v>
      </c>
      <c r="D1100" s="2" t="s">
        <v>443</v>
      </c>
      <c r="E1100" s="2" t="s">
        <v>3558</v>
      </c>
      <c r="F1100" s="2" t="s">
        <v>264</v>
      </c>
      <c r="G1100" s="2" t="s">
        <v>3559</v>
      </c>
      <c r="H1100" s="2" t="s">
        <v>3560</v>
      </c>
      <c r="I1100" s="1" t="s">
        <v>1432</v>
      </c>
      <c r="J1100" s="1" t="s">
        <v>28</v>
      </c>
      <c r="K1100" s="1" t="s">
        <v>40</v>
      </c>
      <c r="L1100" s="1"/>
    </row>
    <row r="1101" spans="1:12" ht="15.75" customHeight="1">
      <c r="A1101" s="1" t="s">
        <v>3561</v>
      </c>
      <c r="B1101" s="2" t="s">
        <v>3562</v>
      </c>
      <c r="C1101" s="2" t="s">
        <v>3542</v>
      </c>
      <c r="D1101" s="2" t="s">
        <v>443</v>
      </c>
      <c r="E1101" s="2" t="s">
        <v>3563</v>
      </c>
      <c r="F1101" s="2" t="s">
        <v>61</v>
      </c>
      <c r="G1101" s="2" t="s">
        <v>3564</v>
      </c>
      <c r="H1101" s="2" t="s">
        <v>3565</v>
      </c>
      <c r="I1101" s="1" t="s">
        <v>1432</v>
      </c>
      <c r="J1101" s="1" t="s">
        <v>28</v>
      </c>
      <c r="K1101" s="1" t="s">
        <v>40</v>
      </c>
      <c r="L1101" s="1"/>
    </row>
    <row r="1102" spans="1:12" ht="15.75" customHeight="1">
      <c r="A1102" s="1" t="s">
        <v>3566</v>
      </c>
      <c r="B1102" s="2" t="s">
        <v>3552</v>
      </c>
      <c r="C1102" s="2" t="s">
        <v>3542</v>
      </c>
      <c r="D1102" s="2" t="s">
        <v>443</v>
      </c>
      <c r="E1102" s="2" t="s">
        <v>3553</v>
      </c>
      <c r="F1102" s="2" t="s">
        <v>264</v>
      </c>
      <c r="G1102" s="2" t="s">
        <v>3554</v>
      </c>
      <c r="H1102" s="2" t="s">
        <v>3567</v>
      </c>
      <c r="I1102" s="1" t="s">
        <v>1297</v>
      </c>
      <c r="J1102" s="1" t="s">
        <v>50</v>
      </c>
      <c r="K1102" s="1" t="s">
        <v>40</v>
      </c>
      <c r="L1102" s="1"/>
    </row>
    <row r="1103" spans="1:12" ht="15.75" customHeight="1">
      <c r="A1103" s="1" t="s">
        <v>3568</v>
      </c>
      <c r="B1103" s="2" t="s">
        <v>3569</v>
      </c>
      <c r="C1103" s="2" t="s">
        <v>3542</v>
      </c>
      <c r="D1103" s="2" t="s">
        <v>443</v>
      </c>
      <c r="E1103" s="2" t="s">
        <v>3570</v>
      </c>
      <c r="F1103" s="2" t="s">
        <v>330</v>
      </c>
      <c r="G1103" s="2" t="s">
        <v>3571</v>
      </c>
      <c r="H1103" s="2" t="s">
        <v>3572</v>
      </c>
      <c r="I1103" s="1" t="s">
        <v>1432</v>
      </c>
      <c r="J1103" s="1" t="s">
        <v>28</v>
      </c>
      <c r="K1103" s="1" t="s">
        <v>40</v>
      </c>
      <c r="L1103" s="1"/>
    </row>
    <row r="1104" spans="1:12" ht="15.75" customHeight="1">
      <c r="A1104" s="1" t="s">
        <v>3573</v>
      </c>
      <c r="B1104" s="2" t="s">
        <v>3574</v>
      </c>
      <c r="C1104" s="2" t="s">
        <v>3542</v>
      </c>
      <c r="D1104" s="2" t="s">
        <v>443</v>
      </c>
      <c r="E1104" s="2" t="s">
        <v>3575</v>
      </c>
      <c r="F1104" s="2" t="s">
        <v>3576</v>
      </c>
      <c r="G1104" s="2" t="s">
        <v>3577</v>
      </c>
      <c r="H1104" s="2" t="s">
        <v>3578</v>
      </c>
      <c r="I1104" s="1" t="s">
        <v>100</v>
      </c>
      <c r="J1104" s="1" t="s">
        <v>78</v>
      </c>
      <c r="K1104" s="1" t="s">
        <v>40</v>
      </c>
      <c r="L1104" s="1"/>
    </row>
    <row r="1105" spans="1:12" ht="15.75" customHeight="1">
      <c r="A1105" s="1" t="s">
        <v>3579</v>
      </c>
      <c r="B1105" s="2" t="s">
        <v>3580</v>
      </c>
      <c r="C1105" s="2" t="s">
        <v>3542</v>
      </c>
      <c r="D1105" s="2" t="s">
        <v>443</v>
      </c>
      <c r="E1105" s="2" t="s">
        <v>3581</v>
      </c>
      <c r="F1105" s="2" t="s">
        <v>330</v>
      </c>
      <c r="G1105" s="2" t="s">
        <v>3582</v>
      </c>
      <c r="H1105" s="2" t="s">
        <v>3583</v>
      </c>
      <c r="I1105" s="1" t="s">
        <v>1432</v>
      </c>
      <c r="J1105" s="1" t="s">
        <v>28</v>
      </c>
      <c r="K1105" s="1" t="s">
        <v>40</v>
      </c>
      <c r="L1105" s="1"/>
    </row>
    <row r="1106" spans="1:12" ht="15.75" customHeight="1">
      <c r="A1106" s="1" t="s">
        <v>3584</v>
      </c>
      <c r="B1106" s="2" t="s">
        <v>3585</v>
      </c>
      <c r="C1106" s="2" t="s">
        <v>3542</v>
      </c>
      <c r="D1106" s="2" t="s">
        <v>443</v>
      </c>
      <c r="E1106" s="2" t="s">
        <v>3586</v>
      </c>
      <c r="F1106" s="2" t="s">
        <v>330</v>
      </c>
      <c r="G1106" s="2" t="s">
        <v>3587</v>
      </c>
      <c r="H1106" s="2" t="s">
        <v>3588</v>
      </c>
      <c r="I1106" s="1" t="s">
        <v>143</v>
      </c>
      <c r="J1106" s="1" t="s">
        <v>35</v>
      </c>
      <c r="K1106" s="1" t="s">
        <v>40</v>
      </c>
      <c r="L1106" s="1"/>
    </row>
    <row r="1107" spans="1:12" ht="15.75" customHeight="1">
      <c r="A1107" s="1" t="s">
        <v>3589</v>
      </c>
      <c r="B1107" s="2" t="s">
        <v>3541</v>
      </c>
      <c r="C1107" s="2" t="s">
        <v>3542</v>
      </c>
      <c r="D1107" s="2" t="s">
        <v>443</v>
      </c>
      <c r="E1107" s="2" t="s">
        <v>3543</v>
      </c>
      <c r="F1107" s="2" t="s">
        <v>140</v>
      </c>
      <c r="G1107" s="2" t="s">
        <v>3544</v>
      </c>
      <c r="H1107" s="2" t="s">
        <v>3590</v>
      </c>
      <c r="I1107" s="1" t="s">
        <v>143</v>
      </c>
      <c r="J1107" s="1" t="s">
        <v>35</v>
      </c>
      <c r="K1107" s="1" t="s">
        <v>40</v>
      </c>
      <c r="L1107" s="1"/>
    </row>
    <row r="1108" spans="1:12" ht="15.75" customHeight="1">
      <c r="A1108" s="1" t="s">
        <v>3591</v>
      </c>
      <c r="B1108" s="2" t="s">
        <v>3580</v>
      </c>
      <c r="C1108" s="2" t="s">
        <v>3542</v>
      </c>
      <c r="D1108" s="2" t="s">
        <v>443</v>
      </c>
      <c r="E1108" s="2" t="s">
        <v>3581</v>
      </c>
      <c r="F1108" s="2" t="s">
        <v>330</v>
      </c>
      <c r="G1108" s="2" t="s">
        <v>3582</v>
      </c>
      <c r="H1108" s="2" t="s">
        <v>3592</v>
      </c>
      <c r="I1108" s="1" t="s">
        <v>1297</v>
      </c>
      <c r="J1108" s="1" t="s">
        <v>50</v>
      </c>
      <c r="K1108" s="1" t="s">
        <v>40</v>
      </c>
      <c r="L1108" s="1"/>
    </row>
    <row r="1109" spans="1:12" ht="15.75" customHeight="1">
      <c r="A1109" s="1" t="s">
        <v>3593</v>
      </c>
      <c r="B1109" s="2" t="s">
        <v>3580</v>
      </c>
      <c r="C1109" s="2" t="s">
        <v>3542</v>
      </c>
      <c r="D1109" s="2" t="s">
        <v>443</v>
      </c>
      <c r="E1109" s="2" t="s">
        <v>3581</v>
      </c>
      <c r="F1109" s="2" t="s">
        <v>330</v>
      </c>
      <c r="G1109" s="2" t="s">
        <v>3582</v>
      </c>
      <c r="H1109" s="2" t="s">
        <v>3594</v>
      </c>
      <c r="I1109" s="1" t="s">
        <v>143</v>
      </c>
      <c r="J1109" s="1" t="s">
        <v>35</v>
      </c>
      <c r="K1109" s="1" t="s">
        <v>40</v>
      </c>
      <c r="L1109" s="1"/>
    </row>
    <row r="1110" spans="1:12" ht="15.75" customHeight="1">
      <c r="A1110" s="1" t="s">
        <v>3595</v>
      </c>
      <c r="B1110" s="2" t="s">
        <v>3574</v>
      </c>
      <c r="C1110" s="2" t="s">
        <v>3542</v>
      </c>
      <c r="D1110" s="2" t="s">
        <v>443</v>
      </c>
      <c r="E1110" s="2" t="s">
        <v>3575</v>
      </c>
      <c r="F1110" s="2" t="s">
        <v>3576</v>
      </c>
      <c r="G1110" s="2" t="s">
        <v>3577</v>
      </c>
      <c r="H1110" s="2" t="s">
        <v>3596</v>
      </c>
      <c r="I1110" s="1" t="s">
        <v>143</v>
      </c>
      <c r="J1110" s="1" t="s">
        <v>35</v>
      </c>
      <c r="K1110" s="1" t="s">
        <v>40</v>
      </c>
      <c r="L1110" s="1"/>
    </row>
    <row r="1111" spans="1:12" ht="15.75" customHeight="1">
      <c r="A1111" s="1" t="s">
        <v>3597</v>
      </c>
      <c r="B1111" s="2" t="s">
        <v>3574</v>
      </c>
      <c r="C1111" s="2" t="s">
        <v>3542</v>
      </c>
      <c r="D1111" s="2" t="s">
        <v>443</v>
      </c>
      <c r="E1111" s="2" t="s">
        <v>3575</v>
      </c>
      <c r="F1111" s="2" t="s">
        <v>3576</v>
      </c>
      <c r="G1111" s="2" t="s">
        <v>3577</v>
      </c>
      <c r="H1111" s="2" t="s">
        <v>3598</v>
      </c>
      <c r="I1111" s="1" t="s">
        <v>1297</v>
      </c>
      <c r="J1111" s="1" t="s">
        <v>50</v>
      </c>
      <c r="K1111" s="6" t="s">
        <v>40</v>
      </c>
      <c r="L1111" s="1"/>
    </row>
    <row r="1112" spans="1:12" ht="15.75" customHeight="1">
      <c r="A1112" s="1" t="s">
        <v>3599</v>
      </c>
      <c r="B1112" s="2" t="s">
        <v>3562</v>
      </c>
      <c r="C1112" s="2" t="s">
        <v>3542</v>
      </c>
      <c r="D1112" s="2" t="s">
        <v>443</v>
      </c>
      <c r="E1112" s="2" t="s">
        <v>3563</v>
      </c>
      <c r="F1112" s="2" t="s">
        <v>61</v>
      </c>
      <c r="G1112" s="2" t="s">
        <v>3564</v>
      </c>
      <c r="H1112" s="2" t="s">
        <v>3600</v>
      </c>
      <c r="I1112" s="1" t="s">
        <v>100</v>
      </c>
      <c r="J1112" s="1" t="s">
        <v>78</v>
      </c>
      <c r="K1112" s="1" t="s">
        <v>40</v>
      </c>
      <c r="L1112" s="1"/>
    </row>
    <row r="1113" spans="1:12" ht="15.75" customHeight="1">
      <c r="A1113" s="1" t="s">
        <v>3601</v>
      </c>
      <c r="B1113" s="2" t="s">
        <v>3547</v>
      </c>
      <c r="C1113" s="2" t="s">
        <v>3542</v>
      </c>
      <c r="D1113" s="2" t="s">
        <v>443</v>
      </c>
      <c r="E1113" s="2" t="s">
        <v>3548</v>
      </c>
      <c r="F1113" s="2" t="s">
        <v>252</v>
      </c>
      <c r="G1113" s="2" t="s">
        <v>3549</v>
      </c>
      <c r="H1113" s="2" t="s">
        <v>3602</v>
      </c>
      <c r="I1113" s="1" t="s">
        <v>1297</v>
      </c>
      <c r="J1113" s="1" t="s">
        <v>50</v>
      </c>
      <c r="K1113" s="1" t="s">
        <v>40</v>
      </c>
      <c r="L1113" s="1"/>
    </row>
    <row r="1114" spans="1:12" ht="15.75" customHeight="1">
      <c r="A1114" s="1" t="s">
        <v>3603</v>
      </c>
      <c r="B1114" s="2" t="s">
        <v>3604</v>
      </c>
      <c r="C1114" s="2" t="s">
        <v>3542</v>
      </c>
      <c r="D1114" s="2" t="s">
        <v>443</v>
      </c>
      <c r="E1114" s="2" t="s">
        <v>3605</v>
      </c>
      <c r="F1114" s="2" t="s">
        <v>330</v>
      </c>
      <c r="G1114" s="2" t="s">
        <v>3606</v>
      </c>
      <c r="H1114" s="2" t="s">
        <v>3607</v>
      </c>
      <c r="I1114" s="1" t="s">
        <v>116</v>
      </c>
      <c r="J1114" s="1" t="s">
        <v>19</v>
      </c>
      <c r="K1114" s="1" t="s">
        <v>40</v>
      </c>
      <c r="L1114" s="1"/>
    </row>
    <row r="1115" spans="1:12" ht="15.75" customHeight="1">
      <c r="A1115" s="1" t="s">
        <v>3608</v>
      </c>
      <c r="B1115" s="2" t="s">
        <v>3585</v>
      </c>
      <c r="C1115" s="2" t="s">
        <v>3542</v>
      </c>
      <c r="D1115" s="2" t="s">
        <v>443</v>
      </c>
      <c r="E1115" s="2" t="s">
        <v>3586</v>
      </c>
      <c r="F1115" s="2" t="s">
        <v>330</v>
      </c>
      <c r="G1115" s="2" t="s">
        <v>3587</v>
      </c>
      <c r="H1115" s="2" t="s">
        <v>3609</v>
      </c>
      <c r="I1115" s="1" t="s">
        <v>100</v>
      </c>
      <c r="J1115" s="1" t="s">
        <v>78</v>
      </c>
      <c r="K1115" s="1" t="s">
        <v>40</v>
      </c>
      <c r="L1115" s="1"/>
    </row>
    <row r="1116" spans="1:12" ht="15.75" customHeight="1">
      <c r="A1116" s="1" t="s">
        <v>3610</v>
      </c>
      <c r="B1116" s="2" t="s">
        <v>3611</v>
      </c>
      <c r="C1116" s="2" t="s">
        <v>3542</v>
      </c>
      <c r="D1116" s="2" t="s">
        <v>443</v>
      </c>
      <c r="E1116" s="2" t="s">
        <v>3612</v>
      </c>
      <c r="F1116" s="2" t="s">
        <v>330</v>
      </c>
      <c r="G1116" s="2" t="s">
        <v>3613</v>
      </c>
      <c r="H1116" s="2" t="s">
        <v>3614</v>
      </c>
      <c r="I1116" s="1" t="s">
        <v>143</v>
      </c>
      <c r="J1116" s="1" t="s">
        <v>35</v>
      </c>
      <c r="K1116" s="1" t="s">
        <v>40</v>
      </c>
      <c r="L1116" s="1"/>
    </row>
    <row r="1117" spans="1:12" ht="15.75" customHeight="1">
      <c r="A1117" s="1" t="s">
        <v>3615</v>
      </c>
      <c r="B1117" s="2" t="s">
        <v>3557</v>
      </c>
      <c r="C1117" s="2" t="s">
        <v>3542</v>
      </c>
      <c r="D1117" s="2" t="s">
        <v>443</v>
      </c>
      <c r="E1117" s="2" t="s">
        <v>3558</v>
      </c>
      <c r="F1117" s="2" t="s">
        <v>264</v>
      </c>
      <c r="G1117" s="2" t="s">
        <v>3559</v>
      </c>
      <c r="H1117" s="2" t="s">
        <v>3616</v>
      </c>
      <c r="I1117" s="1" t="s">
        <v>116</v>
      </c>
      <c r="J1117" s="1" t="s">
        <v>19</v>
      </c>
      <c r="K1117" s="1" t="s">
        <v>40</v>
      </c>
      <c r="L1117" s="1"/>
    </row>
    <row r="1118" spans="1:12" ht="15.75" customHeight="1">
      <c r="A1118" s="1" t="s">
        <v>3617</v>
      </c>
      <c r="B1118" s="2" t="s">
        <v>3541</v>
      </c>
      <c r="C1118" s="2" t="s">
        <v>3542</v>
      </c>
      <c r="D1118" s="2" t="s">
        <v>443</v>
      </c>
      <c r="E1118" s="2" t="s">
        <v>3543</v>
      </c>
      <c r="F1118" s="2" t="s">
        <v>140</v>
      </c>
      <c r="G1118" s="2" t="s">
        <v>3544</v>
      </c>
      <c r="H1118" s="2" t="s">
        <v>3618</v>
      </c>
      <c r="I1118" s="1" t="s">
        <v>1711</v>
      </c>
      <c r="J1118" s="1" t="s">
        <v>50</v>
      </c>
      <c r="K1118" s="1" t="s">
        <v>40</v>
      </c>
      <c r="L1118" s="1"/>
    </row>
    <row r="1119" spans="1:12" ht="15.75" customHeight="1">
      <c r="A1119" s="1" t="s">
        <v>3619</v>
      </c>
      <c r="B1119" s="2" t="s">
        <v>3547</v>
      </c>
      <c r="C1119" s="2" t="s">
        <v>3542</v>
      </c>
      <c r="D1119" s="2" t="s">
        <v>443</v>
      </c>
      <c r="E1119" s="2" t="s">
        <v>3548</v>
      </c>
      <c r="F1119" s="2" t="s">
        <v>252</v>
      </c>
      <c r="G1119" s="2" t="s">
        <v>3549</v>
      </c>
      <c r="H1119" s="2" t="s">
        <v>3620</v>
      </c>
      <c r="I1119" s="1" t="s">
        <v>143</v>
      </c>
      <c r="J1119" s="1" t="s">
        <v>35</v>
      </c>
      <c r="K1119" s="1" t="s">
        <v>40</v>
      </c>
      <c r="L1119" s="1"/>
    </row>
    <row r="1120" spans="1:12" ht="15.75" customHeight="1">
      <c r="A1120" s="1" t="s">
        <v>3621</v>
      </c>
      <c r="B1120" s="2" t="s">
        <v>3569</v>
      </c>
      <c r="C1120" s="2" t="s">
        <v>3542</v>
      </c>
      <c r="D1120" s="2" t="s">
        <v>443</v>
      </c>
      <c r="E1120" s="2" t="s">
        <v>3570</v>
      </c>
      <c r="F1120" s="2" t="s">
        <v>330</v>
      </c>
      <c r="G1120" s="2" t="s">
        <v>3571</v>
      </c>
      <c r="H1120" s="2" t="s">
        <v>3622</v>
      </c>
      <c r="I1120" s="1" t="s">
        <v>1432</v>
      </c>
      <c r="J1120" s="1" t="s">
        <v>28</v>
      </c>
      <c r="K1120" s="1" t="s">
        <v>40</v>
      </c>
      <c r="L1120" s="1"/>
    </row>
    <row r="1121" spans="1:12" ht="15.75" customHeight="1">
      <c r="A1121" s="1" t="s">
        <v>3623</v>
      </c>
      <c r="B1121" s="2" t="s">
        <v>3541</v>
      </c>
      <c r="C1121" s="2" t="s">
        <v>3542</v>
      </c>
      <c r="D1121" s="2" t="s">
        <v>443</v>
      </c>
      <c r="E1121" s="2" t="s">
        <v>3543</v>
      </c>
      <c r="F1121" s="2" t="s">
        <v>140</v>
      </c>
      <c r="G1121" s="2" t="s">
        <v>3544</v>
      </c>
      <c r="H1121" s="2" t="s">
        <v>3624</v>
      </c>
      <c r="I1121" s="1" t="s">
        <v>1711</v>
      </c>
      <c r="J1121" s="1" t="s">
        <v>50</v>
      </c>
      <c r="K1121" s="1" t="s">
        <v>40</v>
      </c>
      <c r="L1121" s="1"/>
    </row>
    <row r="1122" spans="1:12" ht="15.75" customHeight="1">
      <c r="A1122" s="1" t="s">
        <v>3625</v>
      </c>
      <c r="B1122" s="2" t="s">
        <v>3557</v>
      </c>
      <c r="C1122" s="2" t="s">
        <v>3542</v>
      </c>
      <c r="D1122" s="2" t="s">
        <v>443</v>
      </c>
      <c r="E1122" s="2" t="s">
        <v>3558</v>
      </c>
      <c r="F1122" s="2" t="s">
        <v>264</v>
      </c>
      <c r="G1122" s="2" t="s">
        <v>3559</v>
      </c>
      <c r="H1122" s="2" t="s">
        <v>3626</v>
      </c>
      <c r="I1122" s="1" t="s">
        <v>143</v>
      </c>
      <c r="J1122" s="1" t="s">
        <v>35</v>
      </c>
      <c r="K1122" s="1" t="s">
        <v>40</v>
      </c>
      <c r="L1122" s="1"/>
    </row>
    <row r="1123" spans="1:12" ht="15.75" customHeight="1">
      <c r="A1123" s="1" t="s">
        <v>3627</v>
      </c>
      <c r="B1123" s="2" t="s">
        <v>3541</v>
      </c>
      <c r="C1123" s="2" t="s">
        <v>3542</v>
      </c>
      <c r="D1123" s="2" t="s">
        <v>443</v>
      </c>
      <c r="E1123" s="2" t="s">
        <v>3543</v>
      </c>
      <c r="F1123" s="2" t="s">
        <v>140</v>
      </c>
      <c r="G1123" s="2" t="s">
        <v>3544</v>
      </c>
      <c r="H1123" s="2" t="s">
        <v>3628</v>
      </c>
      <c r="I1123" s="1" t="s">
        <v>1711</v>
      </c>
      <c r="J1123" s="1" t="s">
        <v>50</v>
      </c>
      <c r="K1123" s="1" t="s">
        <v>40</v>
      </c>
      <c r="L1123" s="1"/>
    </row>
    <row r="1124" spans="1:12" ht="15.75" customHeight="1">
      <c r="A1124" s="1" t="s">
        <v>3629</v>
      </c>
      <c r="B1124" s="2" t="s">
        <v>3630</v>
      </c>
      <c r="C1124" s="2" t="s">
        <v>3542</v>
      </c>
      <c r="D1124" s="2" t="s">
        <v>443</v>
      </c>
      <c r="E1124" s="2" t="s">
        <v>3631</v>
      </c>
      <c r="F1124" s="2" t="s">
        <v>294</v>
      </c>
      <c r="G1124" s="2" t="s">
        <v>3632</v>
      </c>
      <c r="H1124" s="2" t="s">
        <v>3633</v>
      </c>
      <c r="I1124" s="1" t="s">
        <v>1432</v>
      </c>
      <c r="J1124" s="1" t="s">
        <v>28</v>
      </c>
      <c r="K1124" s="1" t="s">
        <v>40</v>
      </c>
      <c r="L1124" s="1"/>
    </row>
    <row r="1125" spans="1:12" ht="15.75" customHeight="1">
      <c r="A1125" s="1" t="s">
        <v>3634</v>
      </c>
      <c r="B1125" s="2" t="s">
        <v>3630</v>
      </c>
      <c r="C1125" s="2" t="s">
        <v>3542</v>
      </c>
      <c r="D1125" s="2" t="s">
        <v>443</v>
      </c>
      <c r="E1125" s="2" t="s">
        <v>3631</v>
      </c>
      <c r="F1125" s="2" t="s">
        <v>294</v>
      </c>
      <c r="G1125" s="2" t="s">
        <v>3632</v>
      </c>
      <c r="H1125" s="2" t="s">
        <v>3635</v>
      </c>
      <c r="I1125" s="1" t="s">
        <v>1432</v>
      </c>
      <c r="J1125" s="1" t="s">
        <v>28</v>
      </c>
      <c r="K1125" s="1" t="s">
        <v>40</v>
      </c>
      <c r="L1125" s="1"/>
    </row>
    <row r="1126" spans="1:12" ht="15.75" customHeight="1">
      <c r="A1126" s="1" t="s">
        <v>3636</v>
      </c>
      <c r="B1126" s="2" t="s">
        <v>3637</v>
      </c>
      <c r="C1126" s="2" t="s">
        <v>3542</v>
      </c>
      <c r="D1126" s="2" t="s">
        <v>443</v>
      </c>
      <c r="E1126" s="2" t="s">
        <v>3638</v>
      </c>
      <c r="F1126" s="2" t="s">
        <v>330</v>
      </c>
      <c r="G1126" s="2" t="s">
        <v>3639</v>
      </c>
      <c r="H1126" s="2" t="s">
        <v>3640</v>
      </c>
      <c r="I1126" s="1" t="s">
        <v>1432</v>
      </c>
      <c r="J1126" s="1" t="s">
        <v>28</v>
      </c>
      <c r="K1126" s="1" t="s">
        <v>40</v>
      </c>
      <c r="L1126" s="1"/>
    </row>
    <row r="1127" spans="1:12" ht="15.75" customHeight="1">
      <c r="A1127" s="1" t="s">
        <v>3641</v>
      </c>
      <c r="B1127" s="2" t="s">
        <v>3585</v>
      </c>
      <c r="C1127" s="2" t="s">
        <v>3542</v>
      </c>
      <c r="D1127" s="2" t="s">
        <v>443</v>
      </c>
      <c r="E1127" s="2" t="s">
        <v>3586</v>
      </c>
      <c r="F1127" s="2" t="s">
        <v>330</v>
      </c>
      <c r="G1127" s="2" t="s">
        <v>3587</v>
      </c>
      <c r="H1127" s="2" t="s">
        <v>3642</v>
      </c>
      <c r="I1127" s="1" t="s">
        <v>1432</v>
      </c>
      <c r="J1127" s="1" t="s">
        <v>28</v>
      </c>
      <c r="K1127" s="1" t="s">
        <v>40</v>
      </c>
      <c r="L1127" s="1"/>
    </row>
    <row r="1128" spans="1:12" ht="15.75" customHeight="1">
      <c r="A1128" s="1" t="s">
        <v>3643</v>
      </c>
      <c r="B1128" s="2" t="s">
        <v>3644</v>
      </c>
      <c r="C1128" s="2" t="s">
        <v>3542</v>
      </c>
      <c r="D1128" s="2" t="s">
        <v>443</v>
      </c>
      <c r="E1128" s="2" t="s">
        <v>3645</v>
      </c>
      <c r="F1128" s="2" t="s">
        <v>330</v>
      </c>
      <c r="G1128" s="2" t="s">
        <v>3646</v>
      </c>
      <c r="H1128" s="2" t="s">
        <v>3647</v>
      </c>
      <c r="I1128" s="1" t="s">
        <v>1297</v>
      </c>
      <c r="J1128" s="1" t="s">
        <v>50</v>
      </c>
      <c r="K1128" s="1" t="s">
        <v>40</v>
      </c>
      <c r="L1128" s="1"/>
    </row>
    <row r="1129" spans="1:12" ht="15.75" customHeight="1">
      <c r="A1129" s="1" t="s">
        <v>3648</v>
      </c>
      <c r="B1129" s="2" t="s">
        <v>3649</v>
      </c>
      <c r="C1129" s="2" t="s">
        <v>3542</v>
      </c>
      <c r="D1129" s="2" t="s">
        <v>443</v>
      </c>
      <c r="E1129" s="2" t="s">
        <v>3650</v>
      </c>
      <c r="F1129" s="2" t="s">
        <v>330</v>
      </c>
      <c r="G1129" s="2" t="s">
        <v>3651</v>
      </c>
      <c r="H1129" s="2" t="s">
        <v>3652</v>
      </c>
      <c r="I1129" s="1" t="s">
        <v>116</v>
      </c>
      <c r="J1129" s="1" t="s">
        <v>19</v>
      </c>
      <c r="K1129" s="1" t="s">
        <v>40</v>
      </c>
      <c r="L1129" s="1"/>
    </row>
    <row r="1130" spans="1:12" ht="15.75" customHeight="1">
      <c r="A1130" s="1" t="s">
        <v>3653</v>
      </c>
      <c r="B1130" s="2" t="s">
        <v>3552</v>
      </c>
      <c r="C1130" s="2" t="s">
        <v>3542</v>
      </c>
      <c r="D1130" s="2" t="s">
        <v>443</v>
      </c>
      <c r="E1130" s="2" t="s">
        <v>3553</v>
      </c>
      <c r="F1130" s="2" t="s">
        <v>264</v>
      </c>
      <c r="G1130" s="2" t="s">
        <v>3554</v>
      </c>
      <c r="H1130" s="2" t="s">
        <v>3654</v>
      </c>
      <c r="I1130" s="1" t="s">
        <v>143</v>
      </c>
      <c r="J1130" s="1" t="s">
        <v>35</v>
      </c>
      <c r="K1130" s="1" t="s">
        <v>40</v>
      </c>
      <c r="L1130" s="1"/>
    </row>
    <row r="1131" spans="1:12" ht="15.75" customHeight="1">
      <c r="A1131" s="1" t="s">
        <v>3655</v>
      </c>
      <c r="B1131" s="2" t="s">
        <v>3552</v>
      </c>
      <c r="C1131" s="2" t="s">
        <v>3542</v>
      </c>
      <c r="D1131" s="2" t="s">
        <v>443</v>
      </c>
      <c r="E1131" s="2" t="s">
        <v>3553</v>
      </c>
      <c r="F1131" s="2" t="s">
        <v>264</v>
      </c>
      <c r="G1131" s="2" t="s">
        <v>3554</v>
      </c>
      <c r="H1131" s="2" t="s">
        <v>3656</v>
      </c>
      <c r="I1131" s="1" t="s">
        <v>1297</v>
      </c>
      <c r="J1131" s="1" t="s">
        <v>50</v>
      </c>
      <c r="K1131" s="1" t="s">
        <v>40</v>
      </c>
      <c r="L1131" s="1"/>
    </row>
    <row r="1132" spans="1:12" ht="15.75" customHeight="1">
      <c r="A1132" s="1" t="s">
        <v>3657</v>
      </c>
      <c r="B1132" s="2" t="s">
        <v>3658</v>
      </c>
      <c r="C1132" s="2" t="s">
        <v>3659</v>
      </c>
      <c r="D1132" s="2" t="s">
        <v>1215</v>
      </c>
      <c r="E1132" s="2" t="s">
        <v>3660</v>
      </c>
      <c r="F1132" s="2" t="s">
        <v>46</v>
      </c>
      <c r="G1132" s="2" t="s">
        <v>3661</v>
      </c>
      <c r="H1132" s="2" t="s">
        <v>3662</v>
      </c>
      <c r="I1132" s="1" t="s">
        <v>351</v>
      </c>
      <c r="J1132" s="1" t="s">
        <v>28</v>
      </c>
      <c r="K1132" s="1" t="s">
        <v>40</v>
      </c>
      <c r="L1132" s="1"/>
    </row>
    <row r="1133" spans="1:12" ht="15.75" customHeight="1">
      <c r="A1133" s="1" t="s">
        <v>3663</v>
      </c>
      <c r="B1133" s="2" t="s">
        <v>3664</v>
      </c>
      <c r="C1133" s="2" t="s">
        <v>3659</v>
      </c>
      <c r="D1133" s="2" t="s">
        <v>1215</v>
      </c>
      <c r="E1133" s="2" t="s">
        <v>3665</v>
      </c>
      <c r="F1133" s="2" t="s">
        <v>24</v>
      </c>
      <c r="G1133" s="2" t="s">
        <v>3666</v>
      </c>
      <c r="H1133" s="2" t="s">
        <v>3667</v>
      </c>
      <c r="I1133" s="1" t="s">
        <v>1844</v>
      </c>
      <c r="J1133" s="1" t="s">
        <v>50</v>
      </c>
      <c r="K1133" s="1" t="s">
        <v>40</v>
      </c>
      <c r="L1133" s="1"/>
    </row>
    <row r="1134" spans="1:12" ht="15.75" customHeight="1">
      <c r="A1134" s="1" t="s">
        <v>3668</v>
      </c>
      <c r="B1134" s="2" t="s">
        <v>3669</v>
      </c>
      <c r="C1134" s="2" t="s">
        <v>3659</v>
      </c>
      <c r="D1134" s="2" t="s">
        <v>1215</v>
      </c>
      <c r="E1134" s="2" t="s">
        <v>3670</v>
      </c>
      <c r="F1134" s="2" t="s">
        <v>120</v>
      </c>
      <c r="G1134" s="2" t="s">
        <v>3671</v>
      </c>
      <c r="H1134" s="2" t="s">
        <v>3672</v>
      </c>
      <c r="I1134" s="1" t="s">
        <v>18</v>
      </c>
      <c r="J1134" s="1" t="s">
        <v>19</v>
      </c>
      <c r="K1134" s="1" t="s">
        <v>40</v>
      </c>
      <c r="L1134" s="1"/>
    </row>
    <row r="1135" spans="1:12" ht="15.75" customHeight="1">
      <c r="A1135" s="1" t="s">
        <v>3673</v>
      </c>
      <c r="B1135" s="2" t="s">
        <v>3674</v>
      </c>
      <c r="C1135" s="2" t="s">
        <v>3675</v>
      </c>
      <c r="D1135" s="2" t="s">
        <v>2807</v>
      </c>
      <c r="E1135" s="2" t="s">
        <v>3676</v>
      </c>
      <c r="F1135" s="2" t="s">
        <v>120</v>
      </c>
      <c r="G1135" s="2" t="s">
        <v>3677</v>
      </c>
      <c r="H1135" s="2" t="s">
        <v>3678</v>
      </c>
      <c r="I1135" s="1" t="s">
        <v>34</v>
      </c>
      <c r="J1135" s="1" t="s">
        <v>35</v>
      </c>
      <c r="K1135" s="1" t="s">
        <v>40</v>
      </c>
      <c r="L1135" s="1"/>
    </row>
    <row r="1136" spans="1:12" ht="15.75" customHeight="1">
      <c r="A1136" s="1" t="s">
        <v>3679</v>
      </c>
      <c r="B1136" s="2" t="s">
        <v>3680</v>
      </c>
      <c r="C1136" s="2" t="s">
        <v>3675</v>
      </c>
      <c r="D1136" s="2" t="s">
        <v>44</v>
      </c>
      <c r="E1136" s="2" t="s">
        <v>3681</v>
      </c>
      <c r="F1136" s="2" t="s">
        <v>15</v>
      </c>
      <c r="G1136" s="2" t="s">
        <v>3682</v>
      </c>
      <c r="H1136" s="2" t="s">
        <v>3683</v>
      </c>
      <c r="I1136" s="1" t="s">
        <v>351</v>
      </c>
      <c r="J1136" s="1" t="s">
        <v>28</v>
      </c>
      <c r="K1136" s="1" t="s">
        <v>40</v>
      </c>
      <c r="L1136" s="1"/>
    </row>
    <row r="1137" spans="1:12" ht="15.75" customHeight="1">
      <c r="A1137" s="1" t="s">
        <v>3684</v>
      </c>
      <c r="B1137" s="2" t="s">
        <v>3685</v>
      </c>
      <c r="C1137" s="2" t="s">
        <v>3675</v>
      </c>
      <c r="D1137" s="2" t="s">
        <v>2807</v>
      </c>
      <c r="E1137" s="2" t="s">
        <v>3686</v>
      </c>
      <c r="F1137" s="2" t="s">
        <v>180</v>
      </c>
      <c r="G1137" s="2" t="s">
        <v>3687</v>
      </c>
      <c r="H1137" s="2" t="s">
        <v>3688</v>
      </c>
      <c r="I1137" s="1" t="s">
        <v>34</v>
      </c>
      <c r="J1137" s="1" t="s">
        <v>35</v>
      </c>
      <c r="K1137" s="1" t="s">
        <v>40</v>
      </c>
      <c r="L1137" s="1"/>
    </row>
    <row r="1138" spans="1:12" ht="15.75" customHeight="1">
      <c r="A1138" s="1" t="s">
        <v>3689</v>
      </c>
      <c r="B1138" s="2" t="s">
        <v>3685</v>
      </c>
      <c r="C1138" s="2" t="s">
        <v>3675</v>
      </c>
      <c r="D1138" s="2" t="s">
        <v>2807</v>
      </c>
      <c r="E1138" s="2" t="s">
        <v>3686</v>
      </c>
      <c r="F1138" s="2" t="s">
        <v>180</v>
      </c>
      <c r="G1138" s="2" t="s">
        <v>3687</v>
      </c>
      <c r="H1138" s="2" t="s">
        <v>3690</v>
      </c>
      <c r="I1138" s="1" t="s">
        <v>34</v>
      </c>
      <c r="J1138" s="1" t="s">
        <v>35</v>
      </c>
      <c r="K1138" s="1" t="s">
        <v>40</v>
      </c>
      <c r="L1138" s="1"/>
    </row>
    <row r="1139" spans="1:12" ht="15.75" customHeight="1">
      <c r="A1139" s="1" t="s">
        <v>3691</v>
      </c>
      <c r="B1139" s="2" t="s">
        <v>3674</v>
      </c>
      <c r="C1139" s="2" t="s">
        <v>3675</v>
      </c>
      <c r="D1139" s="2" t="s">
        <v>2807</v>
      </c>
      <c r="E1139" s="2" t="s">
        <v>3676</v>
      </c>
      <c r="F1139" s="2" t="s">
        <v>120</v>
      </c>
      <c r="G1139" s="2" t="s">
        <v>3677</v>
      </c>
      <c r="H1139" s="2" t="s">
        <v>3692</v>
      </c>
      <c r="I1139" s="1" t="s">
        <v>351</v>
      </c>
      <c r="J1139" s="1" t="s">
        <v>28</v>
      </c>
      <c r="K1139" s="1" t="s">
        <v>40</v>
      </c>
      <c r="L1139" s="1"/>
    </row>
    <row r="1140" spans="1:12" ht="15.75" customHeight="1">
      <c r="A1140" s="1" t="s">
        <v>3693</v>
      </c>
      <c r="B1140" s="2" t="s">
        <v>3694</v>
      </c>
      <c r="C1140" s="2" t="s">
        <v>3675</v>
      </c>
      <c r="D1140" s="2" t="s">
        <v>2807</v>
      </c>
      <c r="E1140" s="2" t="s">
        <v>3695</v>
      </c>
      <c r="F1140" s="2" t="s">
        <v>140</v>
      </c>
      <c r="G1140" s="2" t="s">
        <v>3696</v>
      </c>
      <c r="H1140" s="2" t="s">
        <v>3697</v>
      </c>
      <c r="I1140" s="1" t="s">
        <v>18</v>
      </c>
      <c r="J1140" s="1" t="s">
        <v>19</v>
      </c>
      <c r="K1140" s="1" t="s">
        <v>40</v>
      </c>
      <c r="L1140" s="1"/>
    </row>
    <row r="1141" spans="1:12" ht="15.75" customHeight="1">
      <c r="A1141" s="1" t="s">
        <v>3698</v>
      </c>
      <c r="B1141" s="2" t="s">
        <v>3674</v>
      </c>
      <c r="C1141" s="2" t="s">
        <v>3675</v>
      </c>
      <c r="D1141" s="2" t="s">
        <v>2807</v>
      </c>
      <c r="E1141" s="2" t="s">
        <v>3676</v>
      </c>
      <c r="F1141" s="2" t="s">
        <v>120</v>
      </c>
      <c r="G1141" s="2" t="s">
        <v>3677</v>
      </c>
      <c r="H1141" s="2" t="s">
        <v>3699</v>
      </c>
      <c r="I1141" s="1" t="s">
        <v>351</v>
      </c>
      <c r="J1141" s="1" t="s">
        <v>28</v>
      </c>
      <c r="K1141" s="1" t="s">
        <v>40</v>
      </c>
      <c r="L1141" s="1"/>
    </row>
    <row r="1142" spans="1:12" ht="15.75" customHeight="1">
      <c r="A1142" s="1" t="s">
        <v>3700</v>
      </c>
      <c r="B1142" s="2" t="s">
        <v>3694</v>
      </c>
      <c r="C1142" s="2" t="s">
        <v>3675</v>
      </c>
      <c r="D1142" s="2" t="s">
        <v>2807</v>
      </c>
      <c r="E1142" s="2" t="s">
        <v>3695</v>
      </c>
      <c r="F1142" s="2" t="s">
        <v>140</v>
      </c>
      <c r="G1142" s="2" t="s">
        <v>3696</v>
      </c>
      <c r="H1142" s="2" t="s">
        <v>3701</v>
      </c>
      <c r="I1142" s="1" t="s">
        <v>34</v>
      </c>
      <c r="J1142" s="1" t="s">
        <v>35</v>
      </c>
      <c r="K1142" s="1" t="s">
        <v>40</v>
      </c>
      <c r="L1142" s="1"/>
    </row>
    <row r="1143" spans="1:12" ht="15.75" customHeight="1">
      <c r="A1143" s="1" t="s">
        <v>3702</v>
      </c>
      <c r="B1143" s="2" t="s">
        <v>3680</v>
      </c>
      <c r="C1143" s="2" t="s">
        <v>3675</v>
      </c>
      <c r="D1143" s="2" t="s">
        <v>44</v>
      </c>
      <c r="E1143" s="2" t="s">
        <v>3681</v>
      </c>
      <c r="F1143" s="2" t="s">
        <v>15</v>
      </c>
      <c r="G1143" s="2" t="s">
        <v>3682</v>
      </c>
      <c r="H1143" s="2" t="s">
        <v>3703</v>
      </c>
      <c r="I1143" s="1" t="s">
        <v>34</v>
      </c>
      <c r="J1143" s="1" t="s">
        <v>35</v>
      </c>
      <c r="K1143" s="1" t="s">
        <v>40</v>
      </c>
      <c r="L1143" s="1"/>
    </row>
    <row r="1144" spans="1:12" ht="15.75" customHeight="1">
      <c r="A1144" s="1" t="s">
        <v>3704</v>
      </c>
      <c r="B1144" s="2" t="s">
        <v>3705</v>
      </c>
      <c r="C1144" s="2" t="s">
        <v>3675</v>
      </c>
      <c r="D1144" s="2" t="s">
        <v>2807</v>
      </c>
      <c r="E1144" s="2" t="s">
        <v>3706</v>
      </c>
      <c r="F1144" s="2" t="s">
        <v>180</v>
      </c>
      <c r="G1144" s="5" t="s">
        <v>3707</v>
      </c>
      <c r="H1144" s="2" t="s">
        <v>3708</v>
      </c>
      <c r="I1144" s="1" t="s">
        <v>34</v>
      </c>
      <c r="J1144" s="1" t="s">
        <v>35</v>
      </c>
      <c r="K1144" s="1" t="s">
        <v>40</v>
      </c>
      <c r="L1144" s="1"/>
    </row>
    <row r="1145" spans="1:12" ht="15.75" customHeight="1">
      <c r="A1145" s="1" t="s">
        <v>3709</v>
      </c>
      <c r="B1145" s="2" t="s">
        <v>3710</v>
      </c>
      <c r="C1145" s="2" t="s">
        <v>3675</v>
      </c>
      <c r="D1145" s="2" t="s">
        <v>2807</v>
      </c>
      <c r="E1145" s="2" t="s">
        <v>3711</v>
      </c>
      <c r="F1145" s="2" t="s">
        <v>157</v>
      </c>
      <c r="G1145" s="2" t="s">
        <v>3712</v>
      </c>
      <c r="H1145" s="2" t="s">
        <v>3713</v>
      </c>
      <c r="I1145" s="1" t="s">
        <v>1529</v>
      </c>
      <c r="J1145" s="1" t="s">
        <v>78</v>
      </c>
      <c r="K1145" s="1" t="s">
        <v>40</v>
      </c>
      <c r="L1145" s="1"/>
    </row>
    <row r="1146" spans="1:12" ht="15.75" customHeight="1">
      <c r="A1146" s="1" t="s">
        <v>3714</v>
      </c>
      <c r="B1146" s="2" t="s">
        <v>3715</v>
      </c>
      <c r="C1146" s="2" t="s">
        <v>3675</v>
      </c>
      <c r="D1146" s="2" t="s">
        <v>2807</v>
      </c>
      <c r="E1146" s="2" t="s">
        <v>3716</v>
      </c>
      <c r="F1146" s="2" t="s">
        <v>89</v>
      </c>
      <c r="G1146" s="2" t="s">
        <v>3717</v>
      </c>
      <c r="H1146" s="2" t="s">
        <v>3718</v>
      </c>
      <c r="I1146" s="1" t="s">
        <v>351</v>
      </c>
      <c r="J1146" s="1" t="s">
        <v>28</v>
      </c>
      <c r="K1146" s="1" t="s">
        <v>40</v>
      </c>
      <c r="L1146" s="1"/>
    </row>
    <row r="1147" spans="1:12" ht="15.75" customHeight="1">
      <c r="A1147" s="1" t="s">
        <v>3719</v>
      </c>
      <c r="B1147" s="2" t="s">
        <v>3680</v>
      </c>
      <c r="C1147" s="2" t="s">
        <v>3675</v>
      </c>
      <c r="D1147" s="2" t="s">
        <v>44</v>
      </c>
      <c r="E1147" s="2" t="s">
        <v>3681</v>
      </c>
      <c r="F1147" s="2" t="s">
        <v>15</v>
      </c>
      <c r="G1147" s="2" t="s">
        <v>3682</v>
      </c>
      <c r="H1147" s="2" t="s">
        <v>3720</v>
      </c>
      <c r="I1147" s="1" t="s">
        <v>160</v>
      </c>
      <c r="J1147" s="1" t="s">
        <v>78</v>
      </c>
      <c r="K1147" s="1" t="s">
        <v>40</v>
      </c>
      <c r="L1147" s="1"/>
    </row>
    <row r="1148" spans="1:12" ht="15.75" customHeight="1">
      <c r="A1148" s="1" t="s">
        <v>3721</v>
      </c>
      <c r="B1148" s="2" t="s">
        <v>3722</v>
      </c>
      <c r="C1148" s="2" t="s">
        <v>3675</v>
      </c>
      <c r="D1148" s="2" t="s">
        <v>2807</v>
      </c>
      <c r="E1148" s="2" t="s">
        <v>3723</v>
      </c>
      <c r="F1148" s="2" t="s">
        <v>46</v>
      </c>
      <c r="G1148" s="2" t="s">
        <v>3724</v>
      </c>
      <c r="H1148" s="2" t="s">
        <v>3725</v>
      </c>
      <c r="I1148" s="1" t="s">
        <v>160</v>
      </c>
      <c r="J1148" s="1" t="s">
        <v>78</v>
      </c>
      <c r="K1148" s="1" t="s">
        <v>40</v>
      </c>
      <c r="L1148" s="1"/>
    </row>
    <row r="1149" spans="1:12" ht="15.75" customHeight="1">
      <c r="A1149" s="1" t="s">
        <v>3726</v>
      </c>
      <c r="B1149" s="2" t="s">
        <v>3680</v>
      </c>
      <c r="C1149" s="2" t="s">
        <v>3675</v>
      </c>
      <c r="D1149" s="2" t="s">
        <v>44</v>
      </c>
      <c r="E1149" s="2" t="s">
        <v>3681</v>
      </c>
      <c r="F1149" s="2" t="s">
        <v>15</v>
      </c>
      <c r="G1149" s="2" t="s">
        <v>3682</v>
      </c>
      <c r="H1149" s="2" t="s">
        <v>3727</v>
      </c>
      <c r="I1149" s="1" t="s">
        <v>351</v>
      </c>
      <c r="J1149" s="1" t="s">
        <v>28</v>
      </c>
      <c r="K1149" s="1" t="s">
        <v>40</v>
      </c>
      <c r="L1149" s="1"/>
    </row>
    <row r="1150" spans="1:12" ht="15.75" customHeight="1">
      <c r="A1150" s="1" t="s">
        <v>3728</v>
      </c>
      <c r="B1150" s="2" t="s">
        <v>3674</v>
      </c>
      <c r="C1150" s="2" t="s">
        <v>3675</v>
      </c>
      <c r="D1150" s="2" t="s">
        <v>2807</v>
      </c>
      <c r="E1150" s="2" t="s">
        <v>3676</v>
      </c>
      <c r="F1150" s="2" t="s">
        <v>120</v>
      </c>
      <c r="G1150" s="2" t="s">
        <v>3677</v>
      </c>
      <c r="H1150" s="2" t="s">
        <v>3729</v>
      </c>
      <c r="I1150" s="1" t="s">
        <v>34</v>
      </c>
      <c r="J1150" s="1" t="s">
        <v>35</v>
      </c>
      <c r="K1150" s="1" t="s">
        <v>40</v>
      </c>
      <c r="L1150" s="1"/>
    </row>
    <row r="1151" spans="1:12" ht="15.75" customHeight="1">
      <c r="A1151" s="1" t="s">
        <v>3730</v>
      </c>
      <c r="B1151" s="2" t="s">
        <v>3715</v>
      </c>
      <c r="C1151" s="2" t="s">
        <v>3675</v>
      </c>
      <c r="D1151" s="2" t="s">
        <v>2807</v>
      </c>
      <c r="E1151" s="2" t="s">
        <v>3716</v>
      </c>
      <c r="F1151" s="2" t="s">
        <v>89</v>
      </c>
      <c r="G1151" s="2" t="s">
        <v>3717</v>
      </c>
      <c r="H1151" s="2" t="s">
        <v>3731</v>
      </c>
      <c r="I1151" s="1" t="s">
        <v>351</v>
      </c>
      <c r="J1151" s="1" t="s">
        <v>28</v>
      </c>
      <c r="K1151" s="1" t="s">
        <v>40</v>
      </c>
      <c r="L1151" s="1"/>
    </row>
    <row r="1152" spans="1:12" ht="15.75" customHeight="1">
      <c r="A1152" s="1" t="s">
        <v>3732</v>
      </c>
      <c r="B1152" s="2" t="s">
        <v>3733</v>
      </c>
      <c r="C1152" s="2" t="s">
        <v>3734</v>
      </c>
      <c r="D1152" s="2" t="s">
        <v>1204</v>
      </c>
      <c r="E1152" s="2" t="s">
        <v>3735</v>
      </c>
      <c r="F1152" s="2" t="s">
        <v>24</v>
      </c>
      <c r="G1152" s="2" t="s">
        <v>3736</v>
      </c>
      <c r="H1152" s="2" t="s">
        <v>3737</v>
      </c>
      <c r="I1152" s="1" t="s">
        <v>18</v>
      </c>
      <c r="J1152" s="1" t="s">
        <v>19</v>
      </c>
      <c r="K1152" s="1" t="s">
        <v>40</v>
      </c>
      <c r="L1152" s="1"/>
    </row>
    <row r="1153" spans="1:12" ht="15.75" customHeight="1">
      <c r="A1153" s="1" t="s">
        <v>3738</v>
      </c>
      <c r="B1153" s="2" t="s">
        <v>3733</v>
      </c>
      <c r="C1153" s="2" t="s">
        <v>3734</v>
      </c>
      <c r="D1153" s="2" t="s">
        <v>1204</v>
      </c>
      <c r="E1153" s="2" t="s">
        <v>3735</v>
      </c>
      <c r="F1153" s="2" t="s">
        <v>24</v>
      </c>
      <c r="G1153" s="2" t="s">
        <v>3736</v>
      </c>
      <c r="H1153" s="2" t="s">
        <v>3739</v>
      </c>
      <c r="I1153" s="1" t="s">
        <v>34</v>
      </c>
      <c r="J1153" s="1" t="s">
        <v>35</v>
      </c>
      <c r="K1153" s="1" t="s">
        <v>40</v>
      </c>
      <c r="L1153" s="1"/>
    </row>
    <row r="1154" spans="1:12" ht="15.75" customHeight="1">
      <c r="A1154" s="1" t="s">
        <v>3740</v>
      </c>
      <c r="B1154" s="2" t="s">
        <v>3733</v>
      </c>
      <c r="C1154" s="2" t="s">
        <v>3734</v>
      </c>
      <c r="D1154" s="2" t="s">
        <v>1204</v>
      </c>
      <c r="E1154" s="2" t="s">
        <v>3735</v>
      </c>
      <c r="F1154" s="2" t="s">
        <v>24</v>
      </c>
      <c r="G1154" s="2" t="s">
        <v>3736</v>
      </c>
      <c r="H1154" s="2" t="s">
        <v>3741</v>
      </c>
      <c r="I1154" s="1" t="s">
        <v>34</v>
      </c>
      <c r="J1154" s="1" t="s">
        <v>35</v>
      </c>
      <c r="K1154" s="1" t="s">
        <v>40</v>
      </c>
      <c r="L1154" s="1"/>
    </row>
    <row r="1155" spans="1:12" ht="15.75" customHeight="1">
      <c r="A1155" s="1" t="s">
        <v>3742</v>
      </c>
      <c r="B1155" s="2" t="s">
        <v>3743</v>
      </c>
      <c r="C1155" s="2" t="s">
        <v>3744</v>
      </c>
      <c r="D1155" s="2" t="s">
        <v>1080</v>
      </c>
      <c r="E1155" s="2" t="s">
        <v>3745</v>
      </c>
      <c r="F1155" s="2" t="s">
        <v>24</v>
      </c>
      <c r="G1155" s="2" t="s">
        <v>3746</v>
      </c>
      <c r="H1155" s="2" t="s">
        <v>3747</v>
      </c>
      <c r="I1155" s="1" t="s">
        <v>3748</v>
      </c>
      <c r="J1155" s="1" t="s">
        <v>19</v>
      </c>
      <c r="K1155" s="1" t="s">
        <v>40</v>
      </c>
      <c r="L1155" s="1"/>
    </row>
    <row r="1156" spans="1:12" ht="15.75" customHeight="1">
      <c r="A1156" s="1" t="s">
        <v>3749</v>
      </c>
      <c r="B1156" s="2" t="s">
        <v>3750</v>
      </c>
      <c r="C1156" s="2" t="s">
        <v>3744</v>
      </c>
      <c r="D1156" s="2" t="s">
        <v>1080</v>
      </c>
      <c r="E1156" s="2" t="s">
        <v>3751</v>
      </c>
      <c r="F1156" s="2" t="s">
        <v>24</v>
      </c>
      <c r="G1156" s="2" t="s">
        <v>3752</v>
      </c>
      <c r="H1156" s="2" t="s">
        <v>3753</v>
      </c>
      <c r="I1156" s="1" t="s">
        <v>10</v>
      </c>
      <c r="J1156" s="1" t="s">
        <v>78</v>
      </c>
      <c r="K1156" s="1" t="s">
        <v>144</v>
      </c>
      <c r="L1156" s="1">
        <v>2</v>
      </c>
    </row>
    <row r="1157" spans="1:12" ht="15.75" customHeight="1">
      <c r="A1157" s="1" t="s">
        <v>3754</v>
      </c>
      <c r="B1157" s="2" t="s">
        <v>3750</v>
      </c>
      <c r="C1157" s="2" t="s">
        <v>3744</v>
      </c>
      <c r="D1157" s="2" t="s">
        <v>1080</v>
      </c>
      <c r="E1157" s="2" t="s">
        <v>3751</v>
      </c>
      <c r="F1157" s="2" t="s">
        <v>24</v>
      </c>
      <c r="G1157" s="2" t="s">
        <v>3752</v>
      </c>
      <c r="H1157" s="2" t="s">
        <v>3755</v>
      </c>
      <c r="I1157" s="1" t="s">
        <v>29</v>
      </c>
      <c r="J1157" s="1" t="s">
        <v>35</v>
      </c>
      <c r="K1157" s="1" t="s">
        <v>40</v>
      </c>
      <c r="L1157" s="1"/>
    </row>
    <row r="1158" spans="1:12" ht="15.75" customHeight="1">
      <c r="A1158" s="1" t="s">
        <v>3756</v>
      </c>
      <c r="B1158" s="2" t="s">
        <v>3750</v>
      </c>
      <c r="C1158" s="2" t="s">
        <v>3744</v>
      </c>
      <c r="D1158" s="2" t="s">
        <v>1080</v>
      </c>
      <c r="E1158" s="2" t="s">
        <v>3751</v>
      </c>
      <c r="F1158" s="2" t="s">
        <v>24</v>
      </c>
      <c r="G1158" s="2" t="s">
        <v>3752</v>
      </c>
      <c r="H1158" s="2" t="s">
        <v>3757</v>
      </c>
      <c r="I1158" s="1" t="s">
        <v>21</v>
      </c>
      <c r="J1158" s="1" t="s">
        <v>19</v>
      </c>
      <c r="K1158" s="1" t="s">
        <v>40</v>
      </c>
      <c r="L1158" s="1"/>
    </row>
    <row r="1159" spans="1:12" ht="15.75" customHeight="1">
      <c r="A1159" s="1" t="s">
        <v>3758</v>
      </c>
      <c r="B1159" s="2" t="s">
        <v>3759</v>
      </c>
      <c r="C1159" s="2" t="s">
        <v>3744</v>
      </c>
      <c r="D1159" s="2" t="s">
        <v>1080</v>
      </c>
      <c r="E1159" s="2" t="s">
        <v>3745</v>
      </c>
      <c r="F1159" s="2" t="s">
        <v>89</v>
      </c>
      <c r="G1159" s="2" t="s">
        <v>3760</v>
      </c>
      <c r="H1159" s="2" t="s">
        <v>3761</v>
      </c>
      <c r="I1159" s="1" t="s">
        <v>3762</v>
      </c>
      <c r="J1159" s="1" t="s">
        <v>50</v>
      </c>
      <c r="K1159" s="1" t="s">
        <v>40</v>
      </c>
      <c r="L1159" s="1"/>
    </row>
    <row r="1160" spans="1:12" ht="15.75" customHeight="1">
      <c r="A1160" s="1" t="s">
        <v>3763</v>
      </c>
      <c r="B1160" s="2" t="s">
        <v>3743</v>
      </c>
      <c r="C1160" s="2" t="s">
        <v>3744</v>
      </c>
      <c r="D1160" s="2" t="s">
        <v>1080</v>
      </c>
      <c r="E1160" s="2" t="s">
        <v>3745</v>
      </c>
      <c r="F1160" s="2" t="s">
        <v>24</v>
      </c>
      <c r="G1160" s="2" t="s">
        <v>3746</v>
      </c>
      <c r="H1160" s="2" t="s">
        <v>3764</v>
      </c>
      <c r="I1160" s="1" t="s">
        <v>3765</v>
      </c>
      <c r="J1160" s="1" t="s">
        <v>28</v>
      </c>
      <c r="K1160" s="1" t="s">
        <v>40</v>
      </c>
      <c r="L1160" s="1"/>
    </row>
    <row r="1161" spans="1:12" ht="15.75" customHeight="1">
      <c r="A1161" s="1" t="s">
        <v>3766</v>
      </c>
      <c r="B1161" s="2" t="s">
        <v>3767</v>
      </c>
      <c r="C1161" s="2" t="s">
        <v>3744</v>
      </c>
      <c r="D1161" s="2" t="s">
        <v>1080</v>
      </c>
      <c r="E1161" s="2" t="s">
        <v>3768</v>
      </c>
      <c r="F1161" s="2" t="s">
        <v>180</v>
      </c>
      <c r="G1161" s="2" t="s">
        <v>3769</v>
      </c>
      <c r="H1161" s="2" t="s">
        <v>3770</v>
      </c>
      <c r="I1161" s="1" t="s">
        <v>29</v>
      </c>
      <c r="J1161" s="1" t="s">
        <v>35</v>
      </c>
      <c r="K1161" s="1" t="s">
        <v>40</v>
      </c>
      <c r="L1161" s="1"/>
    </row>
    <row r="1162" spans="1:12" ht="15.75" customHeight="1">
      <c r="A1162" s="1" t="s">
        <v>3771</v>
      </c>
      <c r="B1162" s="2" t="s">
        <v>3743</v>
      </c>
      <c r="C1162" s="2" t="s">
        <v>3744</v>
      </c>
      <c r="D1162" s="2" t="s">
        <v>1080</v>
      </c>
      <c r="E1162" s="2" t="s">
        <v>3745</v>
      </c>
      <c r="F1162" s="2" t="s">
        <v>24</v>
      </c>
      <c r="G1162" s="2" t="s">
        <v>3746</v>
      </c>
      <c r="H1162" s="2" t="s">
        <v>3772</v>
      </c>
      <c r="I1162" s="1" t="s">
        <v>3748</v>
      </c>
      <c r="J1162" s="1" t="s">
        <v>19</v>
      </c>
      <c r="K1162" s="1" t="s">
        <v>40</v>
      </c>
      <c r="L1162" s="1"/>
    </row>
    <row r="1163" spans="1:12" ht="15.75" customHeight="1">
      <c r="A1163" s="1" t="s">
        <v>3773</v>
      </c>
      <c r="B1163" s="2" t="s">
        <v>3774</v>
      </c>
      <c r="C1163" s="2" t="s">
        <v>3775</v>
      </c>
      <c r="D1163" s="2" t="s">
        <v>443</v>
      </c>
      <c r="E1163" s="2" t="s">
        <v>3776</v>
      </c>
      <c r="F1163" s="2" t="s">
        <v>120</v>
      </c>
      <c r="G1163" s="2" t="s">
        <v>3777</v>
      </c>
      <c r="H1163" s="2" t="s">
        <v>3778</v>
      </c>
      <c r="I1163" s="1" t="s">
        <v>1995</v>
      </c>
      <c r="J1163" s="1" t="s">
        <v>19</v>
      </c>
      <c r="K1163" s="1" t="s">
        <v>40</v>
      </c>
      <c r="L1163" s="1"/>
    </row>
    <row r="1164" spans="1:12" ht="15.75" customHeight="1">
      <c r="A1164" s="1" t="s">
        <v>3779</v>
      </c>
      <c r="B1164" s="2" t="s">
        <v>3774</v>
      </c>
      <c r="C1164" s="2" t="s">
        <v>3775</v>
      </c>
      <c r="D1164" s="2" t="s">
        <v>443</v>
      </c>
      <c r="E1164" s="2" t="s">
        <v>3776</v>
      </c>
      <c r="F1164" s="2" t="s">
        <v>120</v>
      </c>
      <c r="G1164" s="2" t="s">
        <v>3777</v>
      </c>
      <c r="H1164" s="2" t="s">
        <v>3780</v>
      </c>
      <c r="I1164" s="1" t="s">
        <v>3781</v>
      </c>
      <c r="J1164" s="1" t="s">
        <v>50</v>
      </c>
      <c r="K1164" s="1" t="s">
        <v>40</v>
      </c>
      <c r="L1164" s="1"/>
    </row>
    <row r="1165" spans="1:12" ht="15.75" customHeight="1">
      <c r="A1165" s="1" t="s">
        <v>3782</v>
      </c>
      <c r="B1165" s="2" t="s">
        <v>3774</v>
      </c>
      <c r="C1165" s="2" t="s">
        <v>3775</v>
      </c>
      <c r="D1165" s="2" t="s">
        <v>443</v>
      </c>
      <c r="E1165" s="2" t="s">
        <v>3776</v>
      </c>
      <c r="F1165" s="2" t="s">
        <v>120</v>
      </c>
      <c r="G1165" s="2" t="s">
        <v>3777</v>
      </c>
      <c r="H1165" s="2" t="s">
        <v>3783</v>
      </c>
      <c r="I1165" s="1" t="s">
        <v>1515</v>
      </c>
      <c r="J1165" s="1" t="s">
        <v>78</v>
      </c>
      <c r="K1165" s="1" t="s">
        <v>40</v>
      </c>
      <c r="L1165" s="1"/>
    </row>
    <row r="1166" spans="1:12" ht="15.75" customHeight="1">
      <c r="A1166" s="1" t="s">
        <v>3784</v>
      </c>
      <c r="B1166" s="2" t="s">
        <v>3785</v>
      </c>
      <c r="C1166" s="2" t="s">
        <v>3786</v>
      </c>
      <c r="D1166" s="2" t="s">
        <v>13</v>
      </c>
      <c r="E1166" s="2" t="s">
        <v>3787</v>
      </c>
      <c r="F1166" s="2" t="s">
        <v>120</v>
      </c>
      <c r="G1166" s="2" t="s">
        <v>3788</v>
      </c>
      <c r="H1166" s="2" t="s">
        <v>3789</v>
      </c>
      <c r="I1166" s="1" t="s">
        <v>351</v>
      </c>
      <c r="J1166" s="1" t="s">
        <v>28</v>
      </c>
      <c r="K1166" s="1" t="s">
        <v>40</v>
      </c>
      <c r="L1166" s="1"/>
    </row>
    <row r="1167" spans="1:12" ht="15.75" customHeight="1">
      <c r="A1167" s="1" t="s">
        <v>3790</v>
      </c>
      <c r="B1167" s="2" t="s">
        <v>3785</v>
      </c>
      <c r="C1167" s="2" t="s">
        <v>3786</v>
      </c>
      <c r="D1167" s="2" t="s">
        <v>13</v>
      </c>
      <c r="E1167" s="2" t="s">
        <v>3787</v>
      </c>
      <c r="F1167" s="2" t="s">
        <v>120</v>
      </c>
      <c r="G1167" s="2" t="s">
        <v>3788</v>
      </c>
      <c r="H1167" s="2" t="s">
        <v>3791</v>
      </c>
      <c r="I1167" s="1" t="s">
        <v>351</v>
      </c>
      <c r="J1167" s="1" t="s">
        <v>28</v>
      </c>
      <c r="K1167" s="1" t="s">
        <v>40</v>
      </c>
      <c r="L1167" s="1"/>
    </row>
    <row r="1168" spans="1:12" ht="15.75" customHeight="1">
      <c r="A1168" s="1" t="s">
        <v>3792</v>
      </c>
      <c r="B1168" s="2" t="s">
        <v>3785</v>
      </c>
      <c r="C1168" s="2" t="s">
        <v>3786</v>
      </c>
      <c r="D1168" s="2" t="s">
        <v>13</v>
      </c>
      <c r="E1168" s="2" t="s">
        <v>3787</v>
      </c>
      <c r="F1168" s="2" t="s">
        <v>120</v>
      </c>
      <c r="G1168" s="2" t="s">
        <v>3788</v>
      </c>
      <c r="H1168" s="2" t="s">
        <v>3793</v>
      </c>
      <c r="I1168" s="1" t="s">
        <v>351</v>
      </c>
      <c r="J1168" s="1" t="s">
        <v>28</v>
      </c>
      <c r="K1168" s="1" t="s">
        <v>40</v>
      </c>
      <c r="L1168" s="1"/>
    </row>
    <row r="1169" spans="1:12" ht="15.75" customHeight="1">
      <c r="A1169" s="1" t="s">
        <v>3794</v>
      </c>
      <c r="B1169" s="2" t="s">
        <v>3795</v>
      </c>
      <c r="C1169" s="2" t="s">
        <v>3796</v>
      </c>
      <c r="D1169" s="2" t="s">
        <v>1069</v>
      </c>
      <c r="E1169" s="2" t="s">
        <v>3797</v>
      </c>
      <c r="F1169" s="2" t="s">
        <v>126</v>
      </c>
      <c r="G1169" s="2" t="s">
        <v>3798</v>
      </c>
      <c r="H1169" s="2" t="s">
        <v>3799</v>
      </c>
      <c r="I1169" s="1" t="s">
        <v>100</v>
      </c>
      <c r="J1169" s="1" t="s">
        <v>78</v>
      </c>
      <c r="K1169" s="1" t="s">
        <v>40</v>
      </c>
      <c r="L1169" s="1"/>
    </row>
    <row r="1170" spans="1:12" ht="15.75" customHeight="1">
      <c r="A1170" s="1" t="s">
        <v>3800</v>
      </c>
      <c r="B1170" s="2" t="s">
        <v>3795</v>
      </c>
      <c r="C1170" s="2" t="s">
        <v>3796</v>
      </c>
      <c r="D1170" s="2" t="s">
        <v>1069</v>
      </c>
      <c r="E1170" s="2" t="s">
        <v>3797</v>
      </c>
      <c r="F1170" s="2" t="s">
        <v>126</v>
      </c>
      <c r="G1170" s="2" t="s">
        <v>3798</v>
      </c>
      <c r="H1170" s="2" t="s">
        <v>3801</v>
      </c>
      <c r="I1170" s="1" t="s">
        <v>116</v>
      </c>
      <c r="J1170" s="1" t="s">
        <v>19</v>
      </c>
      <c r="K1170" s="1" t="s">
        <v>40</v>
      </c>
      <c r="L1170" s="1"/>
    </row>
    <row r="1171" spans="1:12" ht="15.75" customHeight="1">
      <c r="A1171" s="1" t="s">
        <v>3802</v>
      </c>
      <c r="B1171" s="2" t="s">
        <v>3795</v>
      </c>
      <c r="C1171" s="2" t="s">
        <v>3796</v>
      </c>
      <c r="D1171" s="2" t="s">
        <v>1069</v>
      </c>
      <c r="E1171" s="2" t="s">
        <v>3797</v>
      </c>
      <c r="F1171" s="2" t="s">
        <v>126</v>
      </c>
      <c r="G1171" s="2" t="s">
        <v>3798</v>
      </c>
      <c r="H1171" s="2" t="s">
        <v>3803</v>
      </c>
      <c r="I1171" s="1" t="s">
        <v>116</v>
      </c>
      <c r="J1171" s="1" t="s">
        <v>19</v>
      </c>
      <c r="K1171" s="1" t="s">
        <v>40</v>
      </c>
      <c r="L1171" s="1"/>
    </row>
    <row r="1172" spans="1:12" ht="15.75" customHeight="1">
      <c r="A1172" s="1" t="s">
        <v>3804</v>
      </c>
      <c r="B1172" s="2" t="s">
        <v>3795</v>
      </c>
      <c r="C1172" s="2" t="s">
        <v>3796</v>
      </c>
      <c r="D1172" s="2" t="s">
        <v>1069</v>
      </c>
      <c r="E1172" s="2" t="s">
        <v>3797</v>
      </c>
      <c r="F1172" s="2" t="s">
        <v>126</v>
      </c>
      <c r="G1172" s="2" t="s">
        <v>3798</v>
      </c>
      <c r="H1172" s="2" t="s">
        <v>3805</v>
      </c>
      <c r="I1172" s="1" t="s">
        <v>1432</v>
      </c>
      <c r="J1172" s="1" t="s">
        <v>28</v>
      </c>
      <c r="K1172" s="1" t="s">
        <v>40</v>
      </c>
      <c r="L1172" s="1"/>
    </row>
    <row r="1173" spans="1:12" ht="15.75" customHeight="1">
      <c r="A1173" s="1" t="s">
        <v>3806</v>
      </c>
      <c r="B1173" s="2" t="s">
        <v>3795</v>
      </c>
      <c r="C1173" s="2" t="s">
        <v>3796</v>
      </c>
      <c r="D1173" s="2" t="s">
        <v>1069</v>
      </c>
      <c r="E1173" s="2" t="s">
        <v>3797</v>
      </c>
      <c r="F1173" s="2" t="s">
        <v>126</v>
      </c>
      <c r="G1173" s="2" t="s">
        <v>3798</v>
      </c>
      <c r="H1173" s="2" t="s">
        <v>3807</v>
      </c>
      <c r="I1173" s="1" t="s">
        <v>1432</v>
      </c>
      <c r="J1173" s="1" t="s">
        <v>28</v>
      </c>
      <c r="K1173" s="1" t="s">
        <v>40</v>
      </c>
      <c r="L1173" s="1"/>
    </row>
    <row r="1174" spans="1:12" ht="15.75" customHeight="1">
      <c r="A1174" s="1" t="s">
        <v>3808</v>
      </c>
      <c r="B1174" s="2" t="s">
        <v>3809</v>
      </c>
      <c r="C1174" s="2" t="s">
        <v>3810</v>
      </c>
      <c r="D1174" s="2" t="s">
        <v>1215</v>
      </c>
      <c r="E1174" s="2" t="s">
        <v>3811</v>
      </c>
      <c r="F1174" s="2" t="s">
        <v>15</v>
      </c>
      <c r="G1174" s="2" t="s">
        <v>3812</v>
      </c>
      <c r="H1174" s="2" t="s">
        <v>3813</v>
      </c>
      <c r="I1174" s="1" t="s">
        <v>1515</v>
      </c>
      <c r="J1174" s="1" t="s">
        <v>78</v>
      </c>
      <c r="K1174" s="1" t="s">
        <v>40</v>
      </c>
      <c r="L1174" s="1"/>
    </row>
    <row r="1175" spans="1:12" ht="15.75" customHeight="1">
      <c r="A1175" s="1" t="s">
        <v>3814</v>
      </c>
      <c r="B1175" s="2" t="s">
        <v>3809</v>
      </c>
      <c r="C1175" s="2" t="s">
        <v>3810</v>
      </c>
      <c r="D1175" s="2" t="s">
        <v>1215</v>
      </c>
      <c r="E1175" s="2" t="s">
        <v>3811</v>
      </c>
      <c r="F1175" s="2" t="s">
        <v>15</v>
      </c>
      <c r="G1175" s="2" t="s">
        <v>3812</v>
      </c>
      <c r="H1175" s="2" t="s">
        <v>3815</v>
      </c>
      <c r="I1175" s="1" t="s">
        <v>1995</v>
      </c>
      <c r="J1175" s="1" t="s">
        <v>19</v>
      </c>
      <c r="K1175" s="1" t="s">
        <v>40</v>
      </c>
      <c r="L1175" s="1"/>
    </row>
    <row r="1176" spans="1:12" ht="15.75" customHeight="1">
      <c r="A1176" s="1" t="s">
        <v>3816</v>
      </c>
      <c r="B1176" s="2" t="s">
        <v>3809</v>
      </c>
      <c r="C1176" s="2" t="s">
        <v>3810</v>
      </c>
      <c r="D1176" s="2" t="s">
        <v>1215</v>
      </c>
      <c r="E1176" s="2" t="s">
        <v>3811</v>
      </c>
      <c r="F1176" s="2" t="s">
        <v>15</v>
      </c>
      <c r="G1176" s="2" t="s">
        <v>3812</v>
      </c>
      <c r="H1176" s="2" t="s">
        <v>3817</v>
      </c>
      <c r="I1176" s="1" t="s">
        <v>1995</v>
      </c>
      <c r="J1176" s="1" t="s">
        <v>19</v>
      </c>
      <c r="K1176" s="1" t="s">
        <v>40</v>
      </c>
      <c r="L1176" s="1"/>
    </row>
    <row r="1177" spans="1:12" ht="15.75" customHeight="1">
      <c r="A1177" s="1" t="s">
        <v>3818</v>
      </c>
      <c r="B1177" s="2" t="s">
        <v>3809</v>
      </c>
      <c r="C1177" s="2" t="s">
        <v>3810</v>
      </c>
      <c r="D1177" s="2" t="s">
        <v>1215</v>
      </c>
      <c r="E1177" s="2" t="s">
        <v>3811</v>
      </c>
      <c r="F1177" s="2" t="s">
        <v>15</v>
      </c>
      <c r="G1177" s="2" t="s">
        <v>3812</v>
      </c>
      <c r="H1177" s="2" t="s">
        <v>3819</v>
      </c>
      <c r="I1177" s="1" t="s">
        <v>1529</v>
      </c>
      <c r="J1177" s="1" t="s">
        <v>78</v>
      </c>
      <c r="K1177" s="1" t="s">
        <v>40</v>
      </c>
      <c r="L1177" s="1"/>
    </row>
    <row r="1178" spans="1:12" ht="15.75" customHeight="1">
      <c r="A1178" s="1" t="s">
        <v>3820</v>
      </c>
      <c r="B1178" s="2" t="s">
        <v>3821</v>
      </c>
      <c r="C1178" s="2" t="s">
        <v>3810</v>
      </c>
      <c r="D1178" s="2" t="s">
        <v>1215</v>
      </c>
      <c r="E1178" s="2" t="s">
        <v>3822</v>
      </c>
      <c r="F1178" s="2" t="s">
        <v>61</v>
      </c>
      <c r="G1178" s="2" t="s">
        <v>3823</v>
      </c>
      <c r="H1178" s="2" t="s">
        <v>3824</v>
      </c>
      <c r="I1178" s="1" t="s">
        <v>1995</v>
      </c>
      <c r="J1178" s="1" t="s">
        <v>19</v>
      </c>
      <c r="K1178" s="1" t="s">
        <v>40</v>
      </c>
      <c r="L1178" s="1"/>
    </row>
    <row r="1179" spans="1:12" ht="15.75" customHeight="1">
      <c r="A1179" s="1" t="s">
        <v>3825</v>
      </c>
      <c r="B1179" s="2" t="s">
        <v>3809</v>
      </c>
      <c r="C1179" s="2" t="s">
        <v>3810</v>
      </c>
      <c r="D1179" s="2" t="s">
        <v>1215</v>
      </c>
      <c r="E1179" s="2" t="s">
        <v>3811</v>
      </c>
      <c r="F1179" s="2" t="s">
        <v>15</v>
      </c>
      <c r="G1179" s="2" t="s">
        <v>3812</v>
      </c>
      <c r="H1179" s="2" t="s">
        <v>3826</v>
      </c>
      <c r="I1179" s="1" t="s">
        <v>1995</v>
      </c>
      <c r="J1179" s="1" t="s">
        <v>19</v>
      </c>
      <c r="K1179" s="1" t="s">
        <v>144</v>
      </c>
      <c r="L1179" s="1" t="s">
        <v>1529</v>
      </c>
    </row>
    <row r="1180" spans="1:12" ht="15.75" customHeight="1">
      <c r="A1180" s="1" t="s">
        <v>3827</v>
      </c>
      <c r="B1180" s="2" t="s">
        <v>3809</v>
      </c>
      <c r="C1180" s="2" t="s">
        <v>3810</v>
      </c>
      <c r="D1180" s="2" t="s">
        <v>1215</v>
      </c>
      <c r="E1180" s="2" t="s">
        <v>3811</v>
      </c>
      <c r="F1180" s="2" t="s">
        <v>15</v>
      </c>
      <c r="G1180" s="2" t="s">
        <v>3812</v>
      </c>
      <c r="H1180" s="2" t="s">
        <v>3828</v>
      </c>
      <c r="I1180" s="1" t="s">
        <v>1995</v>
      </c>
      <c r="J1180" s="1" t="s">
        <v>19</v>
      </c>
      <c r="K1180" s="1" t="s">
        <v>40</v>
      </c>
      <c r="L1180" s="1"/>
    </row>
    <row r="1185" spans="2:4" ht="15" customHeight="1">
      <c r="B1185" s="22" t="s">
        <v>3880</v>
      </c>
      <c r="C1185" s="22">
        <f>COUNTIF(K2:K1180,"*")</f>
        <v>1179</v>
      </c>
      <c r="D1185" s="21"/>
    </row>
    <row r="1186" spans="2:4" ht="15" customHeight="1">
      <c r="B1186" s="22" t="s">
        <v>3881</v>
      </c>
      <c r="C1186" s="22">
        <f>COUNTIF(J2:J1180,"*")-C1185</f>
        <v>0</v>
      </c>
      <c r="D1186" s="21"/>
    </row>
    <row r="1187" spans="2:4" ht="15" customHeight="1">
      <c r="B1187" s="22" t="s">
        <v>3882</v>
      </c>
      <c r="C1187" s="23">
        <f>COUNTIF(K2:K1180,"yes")/COUNTIF(K2:K1180,"*")</f>
        <v>0.97116200169635281</v>
      </c>
      <c r="D1187" s="21"/>
    </row>
    <row r="1188" spans="2:4" ht="15" customHeight="1">
      <c r="B1188" s="22" t="s">
        <v>3883</v>
      </c>
      <c r="C1188" s="23">
        <f>COUNTIF(K2:K1180,"no")/COUNTIF(K2:K1180,"*")</f>
        <v>2.883799830364716E-2</v>
      </c>
      <c r="D1188" s="21"/>
    </row>
    <row r="1189" spans="2:4" ht="15" customHeight="1">
      <c r="B1189" s="24" t="s">
        <v>51</v>
      </c>
      <c r="C1189" s="25">
        <f>SUM(C1187:C1188)</f>
        <v>1</v>
      </c>
      <c r="D1189" s="21"/>
    </row>
  </sheetData>
  <conditionalFormatting sqref="K2:K1180">
    <cfRule type="containsText" dxfId="1" priority="1" operator="containsText" text="no">
      <formula>NOT(ISERROR(SEARCH(("no"),(K2))))</formula>
    </cfRule>
    <cfRule type="containsText" dxfId="0" priority="2" operator="containsText" text="yes">
      <formula>NOT(ISERROR(SEARCH(("yes"),(K2))))</formula>
    </cfRule>
  </conditionalFormatting>
  <hyperlinks>
    <hyperlink ref="G24" r:id="rId1" xr:uid="{00000000-0004-0000-0000-000000000000}"/>
    <hyperlink ref="G25" r:id="rId2" xr:uid="{00000000-0004-0000-0000-000001000000}"/>
    <hyperlink ref="G26" r:id="rId3" xr:uid="{00000000-0004-0000-0000-000002000000}"/>
    <hyperlink ref="G27" r:id="rId4" xr:uid="{00000000-0004-0000-0000-000003000000}"/>
    <hyperlink ref="G28" r:id="rId5" xr:uid="{00000000-0004-0000-0000-000004000000}"/>
    <hyperlink ref="G29" r:id="rId6" xr:uid="{00000000-0004-0000-0000-000005000000}"/>
    <hyperlink ref="G30" r:id="rId7" xr:uid="{00000000-0004-0000-0000-000006000000}"/>
    <hyperlink ref="G31" r:id="rId8" xr:uid="{00000000-0004-0000-0000-000007000000}"/>
    <hyperlink ref="G32" r:id="rId9" xr:uid="{00000000-0004-0000-0000-000008000000}"/>
    <hyperlink ref="G33" r:id="rId10" xr:uid="{00000000-0004-0000-0000-000009000000}"/>
    <hyperlink ref="G34" r:id="rId11" xr:uid="{00000000-0004-0000-0000-00000A000000}"/>
    <hyperlink ref="G35" r:id="rId12" xr:uid="{00000000-0004-0000-0000-00000B000000}"/>
    <hyperlink ref="G36" r:id="rId13" xr:uid="{00000000-0004-0000-0000-00000C000000}"/>
    <hyperlink ref="G38" r:id="rId14" xr:uid="{00000000-0004-0000-0000-00000D000000}"/>
    <hyperlink ref="G39" r:id="rId15" xr:uid="{00000000-0004-0000-0000-00000E000000}"/>
    <hyperlink ref="G40" r:id="rId16" xr:uid="{00000000-0004-0000-0000-00000F000000}"/>
    <hyperlink ref="G41" r:id="rId17" xr:uid="{00000000-0004-0000-0000-000010000000}"/>
    <hyperlink ref="G42" r:id="rId18" xr:uid="{00000000-0004-0000-0000-000011000000}"/>
    <hyperlink ref="G43" r:id="rId19" xr:uid="{00000000-0004-0000-0000-000012000000}"/>
    <hyperlink ref="G44" r:id="rId20" xr:uid="{00000000-0004-0000-0000-000013000000}"/>
    <hyperlink ref="G45" r:id="rId21" xr:uid="{00000000-0004-0000-0000-000014000000}"/>
    <hyperlink ref="G46" r:id="rId22" xr:uid="{00000000-0004-0000-0000-000015000000}"/>
    <hyperlink ref="G47" r:id="rId23" xr:uid="{00000000-0004-0000-0000-000016000000}"/>
    <hyperlink ref="G48" r:id="rId24" xr:uid="{00000000-0004-0000-0000-000017000000}"/>
    <hyperlink ref="G49" r:id="rId25" xr:uid="{00000000-0004-0000-0000-000018000000}"/>
    <hyperlink ref="G50" r:id="rId26" xr:uid="{00000000-0004-0000-0000-000019000000}"/>
    <hyperlink ref="G51" r:id="rId27" xr:uid="{00000000-0004-0000-0000-00001A000000}"/>
    <hyperlink ref="G52" r:id="rId28" xr:uid="{00000000-0004-0000-0000-00001B000000}"/>
    <hyperlink ref="G53" r:id="rId29" xr:uid="{00000000-0004-0000-0000-00001C000000}"/>
    <hyperlink ref="G54" r:id="rId30" xr:uid="{00000000-0004-0000-0000-00001D000000}"/>
    <hyperlink ref="G55" r:id="rId31" xr:uid="{00000000-0004-0000-0000-00001E000000}"/>
    <hyperlink ref="G56" r:id="rId32" xr:uid="{00000000-0004-0000-0000-00001F000000}"/>
    <hyperlink ref="G57" r:id="rId33" xr:uid="{00000000-0004-0000-0000-000020000000}"/>
    <hyperlink ref="G58" r:id="rId34" xr:uid="{00000000-0004-0000-0000-000021000000}"/>
    <hyperlink ref="G59" r:id="rId35" xr:uid="{00000000-0004-0000-0000-000022000000}"/>
    <hyperlink ref="G60" r:id="rId36" xr:uid="{00000000-0004-0000-0000-000023000000}"/>
    <hyperlink ref="G61" r:id="rId37" xr:uid="{00000000-0004-0000-0000-000024000000}"/>
    <hyperlink ref="G62" r:id="rId38" xr:uid="{00000000-0004-0000-0000-000025000000}"/>
    <hyperlink ref="G63" r:id="rId39" xr:uid="{00000000-0004-0000-0000-000026000000}"/>
    <hyperlink ref="G64" r:id="rId40" xr:uid="{00000000-0004-0000-0000-000027000000}"/>
    <hyperlink ref="G65" r:id="rId41" xr:uid="{00000000-0004-0000-0000-000028000000}"/>
    <hyperlink ref="G66" r:id="rId42" xr:uid="{00000000-0004-0000-0000-000029000000}"/>
    <hyperlink ref="G67" r:id="rId43" xr:uid="{00000000-0004-0000-0000-00002A000000}"/>
    <hyperlink ref="G68" r:id="rId44" xr:uid="{00000000-0004-0000-0000-00002B000000}"/>
    <hyperlink ref="G69" r:id="rId45" xr:uid="{00000000-0004-0000-0000-00002C000000}"/>
    <hyperlink ref="G70" r:id="rId46" xr:uid="{00000000-0004-0000-0000-00002D000000}"/>
    <hyperlink ref="G71" r:id="rId47" xr:uid="{00000000-0004-0000-0000-00002E000000}"/>
    <hyperlink ref="G72" r:id="rId48" xr:uid="{00000000-0004-0000-0000-00002F000000}"/>
    <hyperlink ref="G73" r:id="rId49" xr:uid="{00000000-0004-0000-0000-000030000000}"/>
    <hyperlink ref="G74" r:id="rId50" xr:uid="{00000000-0004-0000-0000-000031000000}"/>
    <hyperlink ref="G75" r:id="rId51" xr:uid="{00000000-0004-0000-0000-000032000000}"/>
    <hyperlink ref="G76" r:id="rId52" xr:uid="{00000000-0004-0000-0000-000033000000}"/>
    <hyperlink ref="G77" r:id="rId53" xr:uid="{00000000-0004-0000-0000-000034000000}"/>
    <hyperlink ref="G78" r:id="rId54" xr:uid="{00000000-0004-0000-0000-000035000000}"/>
    <hyperlink ref="G79" r:id="rId55" xr:uid="{00000000-0004-0000-0000-000036000000}"/>
    <hyperlink ref="G80" r:id="rId56" xr:uid="{00000000-0004-0000-0000-000037000000}"/>
    <hyperlink ref="G81" r:id="rId57" xr:uid="{00000000-0004-0000-0000-000038000000}"/>
    <hyperlink ref="G82" r:id="rId58" xr:uid="{00000000-0004-0000-0000-000039000000}"/>
    <hyperlink ref="G83" r:id="rId59" xr:uid="{00000000-0004-0000-0000-00003A000000}"/>
    <hyperlink ref="G84" r:id="rId60" xr:uid="{00000000-0004-0000-0000-00003B000000}"/>
    <hyperlink ref="G85" r:id="rId61" xr:uid="{00000000-0004-0000-0000-00003C000000}"/>
    <hyperlink ref="G86" r:id="rId62" xr:uid="{00000000-0004-0000-0000-00003D000000}"/>
    <hyperlink ref="G87" r:id="rId63" xr:uid="{00000000-0004-0000-0000-00003E000000}"/>
    <hyperlink ref="G88" r:id="rId64" xr:uid="{00000000-0004-0000-0000-00003F000000}"/>
    <hyperlink ref="G89" r:id="rId65" xr:uid="{00000000-0004-0000-0000-000040000000}"/>
    <hyperlink ref="G90" r:id="rId66" xr:uid="{00000000-0004-0000-0000-000041000000}"/>
    <hyperlink ref="G91" r:id="rId67" xr:uid="{00000000-0004-0000-0000-000042000000}"/>
    <hyperlink ref="G92" r:id="rId68" xr:uid="{00000000-0004-0000-0000-000043000000}"/>
    <hyperlink ref="G93" r:id="rId69" xr:uid="{00000000-0004-0000-0000-000044000000}"/>
    <hyperlink ref="G94" r:id="rId70" xr:uid="{00000000-0004-0000-0000-000045000000}"/>
    <hyperlink ref="G95" r:id="rId71" xr:uid="{00000000-0004-0000-0000-000046000000}"/>
    <hyperlink ref="G96" r:id="rId72" xr:uid="{00000000-0004-0000-0000-000047000000}"/>
    <hyperlink ref="G97" r:id="rId73" xr:uid="{00000000-0004-0000-0000-000048000000}"/>
    <hyperlink ref="G98" r:id="rId74" xr:uid="{00000000-0004-0000-0000-000049000000}"/>
    <hyperlink ref="G99" r:id="rId75" xr:uid="{00000000-0004-0000-0000-00004A000000}"/>
    <hyperlink ref="G100" r:id="rId76" xr:uid="{00000000-0004-0000-0000-00004B000000}"/>
    <hyperlink ref="G101" r:id="rId77" xr:uid="{00000000-0004-0000-0000-00004C000000}"/>
    <hyperlink ref="G102" r:id="rId78" xr:uid="{00000000-0004-0000-0000-00004D000000}"/>
    <hyperlink ref="G103" r:id="rId79" xr:uid="{00000000-0004-0000-0000-00004E000000}"/>
    <hyperlink ref="G104" r:id="rId80" xr:uid="{00000000-0004-0000-0000-00004F000000}"/>
    <hyperlink ref="G105" r:id="rId81" xr:uid="{00000000-0004-0000-0000-000050000000}"/>
    <hyperlink ref="G106" r:id="rId82" xr:uid="{00000000-0004-0000-0000-000051000000}"/>
    <hyperlink ref="G107" r:id="rId83" xr:uid="{00000000-0004-0000-0000-000052000000}"/>
    <hyperlink ref="G108" r:id="rId84" xr:uid="{00000000-0004-0000-0000-000053000000}"/>
    <hyperlink ref="G109" r:id="rId85" xr:uid="{00000000-0004-0000-0000-000054000000}"/>
    <hyperlink ref="G110" r:id="rId86" xr:uid="{00000000-0004-0000-0000-000055000000}"/>
    <hyperlink ref="G111" r:id="rId87" xr:uid="{00000000-0004-0000-0000-000056000000}"/>
    <hyperlink ref="G112" r:id="rId88" xr:uid="{00000000-0004-0000-0000-000057000000}"/>
    <hyperlink ref="G113" r:id="rId89" xr:uid="{00000000-0004-0000-0000-000058000000}"/>
    <hyperlink ref="G114" r:id="rId90" xr:uid="{00000000-0004-0000-0000-000059000000}"/>
    <hyperlink ref="G115" r:id="rId91" xr:uid="{00000000-0004-0000-0000-00005A000000}"/>
    <hyperlink ref="G116" r:id="rId92" xr:uid="{00000000-0004-0000-0000-00005B000000}"/>
    <hyperlink ref="G117" r:id="rId93" xr:uid="{00000000-0004-0000-0000-00005C000000}"/>
    <hyperlink ref="G118" r:id="rId94" xr:uid="{00000000-0004-0000-0000-00005D000000}"/>
    <hyperlink ref="G119" r:id="rId95" xr:uid="{00000000-0004-0000-0000-00005E000000}"/>
    <hyperlink ref="G120" r:id="rId96" xr:uid="{00000000-0004-0000-0000-00005F000000}"/>
    <hyperlink ref="G121" r:id="rId97" xr:uid="{00000000-0004-0000-0000-000060000000}"/>
    <hyperlink ref="G122" r:id="rId98" xr:uid="{00000000-0004-0000-0000-000061000000}"/>
    <hyperlink ref="G123" r:id="rId99" xr:uid="{00000000-0004-0000-0000-000062000000}"/>
    <hyperlink ref="G124" r:id="rId100" xr:uid="{00000000-0004-0000-0000-000063000000}"/>
    <hyperlink ref="G125" r:id="rId101" xr:uid="{00000000-0004-0000-0000-000064000000}"/>
    <hyperlink ref="G126" r:id="rId102" xr:uid="{00000000-0004-0000-0000-000065000000}"/>
    <hyperlink ref="G127" r:id="rId103" xr:uid="{00000000-0004-0000-0000-000066000000}"/>
    <hyperlink ref="G128" r:id="rId104" xr:uid="{00000000-0004-0000-0000-000067000000}"/>
    <hyperlink ref="G129" r:id="rId105" xr:uid="{00000000-0004-0000-0000-000068000000}"/>
    <hyperlink ref="G130" r:id="rId106" xr:uid="{00000000-0004-0000-0000-000069000000}"/>
    <hyperlink ref="G131" r:id="rId107" xr:uid="{00000000-0004-0000-0000-00006A000000}"/>
    <hyperlink ref="G132" r:id="rId108" xr:uid="{00000000-0004-0000-0000-00006B000000}"/>
    <hyperlink ref="G133" r:id="rId109" xr:uid="{00000000-0004-0000-0000-00006C000000}"/>
    <hyperlink ref="G134" r:id="rId110" xr:uid="{00000000-0004-0000-0000-00006D000000}"/>
    <hyperlink ref="G135" r:id="rId111" xr:uid="{00000000-0004-0000-0000-00006E000000}"/>
    <hyperlink ref="G136" r:id="rId112" xr:uid="{00000000-0004-0000-0000-00006F000000}"/>
    <hyperlink ref="G137" r:id="rId113" xr:uid="{00000000-0004-0000-0000-000070000000}"/>
    <hyperlink ref="G138" r:id="rId114" xr:uid="{00000000-0004-0000-0000-000071000000}"/>
    <hyperlink ref="G139" r:id="rId115" xr:uid="{00000000-0004-0000-0000-000072000000}"/>
    <hyperlink ref="G140" r:id="rId116" xr:uid="{00000000-0004-0000-0000-000073000000}"/>
    <hyperlink ref="G141" r:id="rId117" xr:uid="{00000000-0004-0000-0000-000074000000}"/>
    <hyperlink ref="G142" r:id="rId118" xr:uid="{00000000-0004-0000-0000-000075000000}"/>
    <hyperlink ref="G143" r:id="rId119" xr:uid="{00000000-0004-0000-0000-000076000000}"/>
    <hyperlink ref="G144" r:id="rId120" xr:uid="{00000000-0004-0000-0000-000077000000}"/>
    <hyperlink ref="G145" r:id="rId121" xr:uid="{00000000-0004-0000-0000-000078000000}"/>
    <hyperlink ref="G146" r:id="rId122" xr:uid="{00000000-0004-0000-0000-000079000000}"/>
    <hyperlink ref="G147" r:id="rId123" xr:uid="{00000000-0004-0000-0000-00007A000000}"/>
    <hyperlink ref="G148" r:id="rId124" xr:uid="{00000000-0004-0000-0000-00007B000000}"/>
    <hyperlink ref="G149" r:id="rId125" xr:uid="{00000000-0004-0000-0000-00007C000000}"/>
    <hyperlink ref="G150" r:id="rId126" xr:uid="{00000000-0004-0000-0000-00007D000000}"/>
    <hyperlink ref="G151" r:id="rId127" xr:uid="{00000000-0004-0000-0000-00007E000000}"/>
    <hyperlink ref="G152" r:id="rId128" xr:uid="{00000000-0004-0000-0000-00007F000000}"/>
    <hyperlink ref="G153" r:id="rId129" xr:uid="{00000000-0004-0000-0000-000080000000}"/>
    <hyperlink ref="G154" r:id="rId130" xr:uid="{00000000-0004-0000-0000-000081000000}"/>
    <hyperlink ref="G155" r:id="rId131" xr:uid="{00000000-0004-0000-0000-000082000000}"/>
    <hyperlink ref="G156" r:id="rId132" xr:uid="{00000000-0004-0000-0000-000083000000}"/>
    <hyperlink ref="G157" r:id="rId133" xr:uid="{00000000-0004-0000-0000-000084000000}"/>
    <hyperlink ref="G158" r:id="rId134" xr:uid="{00000000-0004-0000-0000-000085000000}"/>
    <hyperlink ref="G159" r:id="rId135" xr:uid="{00000000-0004-0000-0000-000086000000}"/>
    <hyperlink ref="G160" r:id="rId136" xr:uid="{00000000-0004-0000-0000-000087000000}"/>
    <hyperlink ref="G161" r:id="rId137" xr:uid="{00000000-0004-0000-0000-000088000000}"/>
    <hyperlink ref="G162" r:id="rId138" xr:uid="{00000000-0004-0000-0000-000089000000}"/>
    <hyperlink ref="G163" r:id="rId139" xr:uid="{00000000-0004-0000-0000-00008A000000}"/>
    <hyperlink ref="G164" r:id="rId140" xr:uid="{00000000-0004-0000-0000-00008B000000}"/>
    <hyperlink ref="G165" r:id="rId141" xr:uid="{00000000-0004-0000-0000-00008C000000}"/>
    <hyperlink ref="G166" r:id="rId142" xr:uid="{00000000-0004-0000-0000-00008D000000}"/>
    <hyperlink ref="G167" r:id="rId143" xr:uid="{00000000-0004-0000-0000-00008E000000}"/>
    <hyperlink ref="G168" r:id="rId144" xr:uid="{00000000-0004-0000-0000-00008F000000}"/>
    <hyperlink ref="G169" r:id="rId145" xr:uid="{00000000-0004-0000-0000-000090000000}"/>
    <hyperlink ref="G170" r:id="rId146" xr:uid="{00000000-0004-0000-0000-000091000000}"/>
    <hyperlink ref="G171" r:id="rId147" xr:uid="{00000000-0004-0000-0000-000092000000}"/>
    <hyperlink ref="G172" r:id="rId148" xr:uid="{00000000-0004-0000-0000-000093000000}"/>
    <hyperlink ref="G173" r:id="rId149" xr:uid="{00000000-0004-0000-0000-000094000000}"/>
    <hyperlink ref="G174" r:id="rId150" xr:uid="{00000000-0004-0000-0000-000095000000}"/>
    <hyperlink ref="G175" r:id="rId151" xr:uid="{00000000-0004-0000-0000-000096000000}"/>
    <hyperlink ref="G176" r:id="rId152" xr:uid="{00000000-0004-0000-0000-000097000000}"/>
    <hyperlink ref="G177" r:id="rId153" xr:uid="{00000000-0004-0000-0000-000098000000}"/>
    <hyperlink ref="G178" r:id="rId154" xr:uid="{00000000-0004-0000-0000-000099000000}"/>
    <hyperlink ref="G179" r:id="rId155" xr:uid="{00000000-0004-0000-0000-00009A000000}"/>
    <hyperlink ref="G180" r:id="rId156" xr:uid="{00000000-0004-0000-0000-00009B000000}"/>
    <hyperlink ref="G181" r:id="rId157" xr:uid="{00000000-0004-0000-0000-00009C000000}"/>
    <hyperlink ref="G182" r:id="rId158" xr:uid="{00000000-0004-0000-0000-00009D000000}"/>
    <hyperlink ref="G183" r:id="rId159" xr:uid="{00000000-0004-0000-0000-00009E000000}"/>
    <hyperlink ref="G184" r:id="rId160" xr:uid="{00000000-0004-0000-0000-00009F000000}"/>
    <hyperlink ref="G185" r:id="rId161" xr:uid="{00000000-0004-0000-0000-0000A0000000}"/>
    <hyperlink ref="G186" r:id="rId162" xr:uid="{00000000-0004-0000-0000-0000A1000000}"/>
    <hyperlink ref="G187" r:id="rId163" xr:uid="{00000000-0004-0000-0000-0000A2000000}"/>
    <hyperlink ref="G188" r:id="rId164" xr:uid="{00000000-0004-0000-0000-0000A3000000}"/>
    <hyperlink ref="G189" r:id="rId165" xr:uid="{00000000-0004-0000-0000-0000A4000000}"/>
    <hyperlink ref="G190" r:id="rId166" xr:uid="{00000000-0004-0000-0000-0000A5000000}"/>
    <hyperlink ref="G191" r:id="rId167" xr:uid="{00000000-0004-0000-0000-0000A6000000}"/>
    <hyperlink ref="G192" r:id="rId168" xr:uid="{00000000-0004-0000-0000-0000A7000000}"/>
    <hyperlink ref="G193" r:id="rId169" xr:uid="{00000000-0004-0000-0000-0000A8000000}"/>
    <hyperlink ref="G194" r:id="rId170" xr:uid="{00000000-0004-0000-0000-0000A9000000}"/>
    <hyperlink ref="G195" r:id="rId171" xr:uid="{00000000-0004-0000-0000-0000AA000000}"/>
    <hyperlink ref="G196" r:id="rId172" xr:uid="{00000000-0004-0000-0000-0000AB000000}"/>
    <hyperlink ref="G197" r:id="rId173" xr:uid="{00000000-0004-0000-0000-0000AC000000}"/>
    <hyperlink ref="G198" r:id="rId174" xr:uid="{00000000-0004-0000-0000-0000AD000000}"/>
    <hyperlink ref="G199" r:id="rId175" xr:uid="{00000000-0004-0000-0000-0000AE000000}"/>
    <hyperlink ref="G200" r:id="rId176" xr:uid="{00000000-0004-0000-0000-0000AF000000}"/>
    <hyperlink ref="G201" r:id="rId177" xr:uid="{00000000-0004-0000-0000-0000B0000000}"/>
    <hyperlink ref="G202" r:id="rId178" xr:uid="{00000000-0004-0000-0000-0000B1000000}"/>
    <hyperlink ref="G203" r:id="rId179" xr:uid="{00000000-0004-0000-0000-0000B2000000}"/>
    <hyperlink ref="G204" r:id="rId180" xr:uid="{00000000-0004-0000-0000-0000B3000000}"/>
    <hyperlink ref="G205" r:id="rId181" xr:uid="{00000000-0004-0000-0000-0000B4000000}"/>
    <hyperlink ref="G206" r:id="rId182" xr:uid="{00000000-0004-0000-0000-0000B5000000}"/>
    <hyperlink ref="G207" r:id="rId183" xr:uid="{00000000-0004-0000-0000-0000B6000000}"/>
    <hyperlink ref="G208" r:id="rId184" xr:uid="{00000000-0004-0000-0000-0000B7000000}"/>
    <hyperlink ref="G209" r:id="rId185" xr:uid="{00000000-0004-0000-0000-0000B8000000}"/>
    <hyperlink ref="G210" r:id="rId186" xr:uid="{00000000-0004-0000-0000-0000B9000000}"/>
    <hyperlink ref="G211" r:id="rId187" xr:uid="{00000000-0004-0000-0000-0000BA000000}"/>
    <hyperlink ref="G212" r:id="rId188" xr:uid="{00000000-0004-0000-0000-0000BB000000}"/>
    <hyperlink ref="G213" r:id="rId189" xr:uid="{00000000-0004-0000-0000-0000BC000000}"/>
    <hyperlink ref="G214" r:id="rId190" xr:uid="{00000000-0004-0000-0000-0000BD000000}"/>
    <hyperlink ref="G215" r:id="rId191" xr:uid="{00000000-0004-0000-0000-0000BE000000}"/>
    <hyperlink ref="G216" r:id="rId192" xr:uid="{00000000-0004-0000-0000-0000BF000000}"/>
    <hyperlink ref="G217" r:id="rId193" xr:uid="{00000000-0004-0000-0000-0000C0000000}"/>
    <hyperlink ref="G218" r:id="rId194" xr:uid="{00000000-0004-0000-0000-0000C1000000}"/>
    <hyperlink ref="G219" r:id="rId195" xr:uid="{00000000-0004-0000-0000-0000C2000000}"/>
    <hyperlink ref="G220" r:id="rId196" xr:uid="{00000000-0004-0000-0000-0000C3000000}"/>
    <hyperlink ref="G221" r:id="rId197" xr:uid="{00000000-0004-0000-0000-0000C4000000}"/>
    <hyperlink ref="G222" r:id="rId198" xr:uid="{00000000-0004-0000-0000-0000C5000000}"/>
    <hyperlink ref="G223" r:id="rId199" xr:uid="{00000000-0004-0000-0000-0000C6000000}"/>
    <hyperlink ref="G224" r:id="rId200" xr:uid="{00000000-0004-0000-0000-0000C7000000}"/>
    <hyperlink ref="G225" r:id="rId201" xr:uid="{00000000-0004-0000-0000-0000C8000000}"/>
    <hyperlink ref="G226" r:id="rId202" xr:uid="{00000000-0004-0000-0000-0000C9000000}"/>
    <hyperlink ref="G227" r:id="rId203" xr:uid="{00000000-0004-0000-0000-0000CA000000}"/>
    <hyperlink ref="G228" r:id="rId204" xr:uid="{00000000-0004-0000-0000-0000CB000000}"/>
    <hyperlink ref="G229" r:id="rId205" xr:uid="{00000000-0004-0000-0000-0000CC000000}"/>
    <hyperlink ref="G230" r:id="rId206" xr:uid="{00000000-0004-0000-0000-0000CD000000}"/>
    <hyperlink ref="G231" r:id="rId207" xr:uid="{00000000-0004-0000-0000-0000CE000000}"/>
    <hyperlink ref="G232" r:id="rId208" xr:uid="{00000000-0004-0000-0000-0000CF000000}"/>
    <hyperlink ref="G233" r:id="rId209" xr:uid="{00000000-0004-0000-0000-0000D0000000}"/>
    <hyperlink ref="G234" r:id="rId210" xr:uid="{00000000-0004-0000-0000-0000D1000000}"/>
    <hyperlink ref="G235" r:id="rId211" xr:uid="{00000000-0004-0000-0000-0000D2000000}"/>
    <hyperlink ref="G236" r:id="rId212" xr:uid="{00000000-0004-0000-0000-0000D3000000}"/>
    <hyperlink ref="G237" r:id="rId213" xr:uid="{00000000-0004-0000-0000-0000D4000000}"/>
    <hyperlink ref="G238" r:id="rId214" xr:uid="{00000000-0004-0000-0000-0000D5000000}"/>
    <hyperlink ref="G239" r:id="rId215" xr:uid="{00000000-0004-0000-0000-0000D6000000}"/>
    <hyperlink ref="G240" r:id="rId216" xr:uid="{00000000-0004-0000-0000-0000D7000000}"/>
    <hyperlink ref="G241" r:id="rId217" xr:uid="{00000000-0004-0000-0000-0000D8000000}"/>
    <hyperlink ref="G242" r:id="rId218" xr:uid="{00000000-0004-0000-0000-0000D9000000}"/>
    <hyperlink ref="G243" r:id="rId219" xr:uid="{00000000-0004-0000-0000-0000DA000000}"/>
    <hyperlink ref="G244" r:id="rId220" xr:uid="{00000000-0004-0000-0000-0000DB000000}"/>
    <hyperlink ref="G245" r:id="rId221" xr:uid="{00000000-0004-0000-0000-0000DC000000}"/>
    <hyperlink ref="G246" r:id="rId222" xr:uid="{00000000-0004-0000-0000-0000DD000000}"/>
    <hyperlink ref="G247" r:id="rId223" xr:uid="{00000000-0004-0000-0000-0000DE000000}"/>
    <hyperlink ref="G248" r:id="rId224" xr:uid="{00000000-0004-0000-0000-0000DF000000}"/>
    <hyperlink ref="G249" r:id="rId225" xr:uid="{00000000-0004-0000-0000-0000E0000000}"/>
    <hyperlink ref="G250" r:id="rId226" xr:uid="{00000000-0004-0000-0000-0000E1000000}"/>
    <hyperlink ref="G251" r:id="rId227" xr:uid="{00000000-0004-0000-0000-0000E2000000}"/>
    <hyperlink ref="G252" r:id="rId228" xr:uid="{00000000-0004-0000-0000-0000E3000000}"/>
    <hyperlink ref="G253" r:id="rId229" xr:uid="{00000000-0004-0000-0000-0000E4000000}"/>
    <hyperlink ref="G254" r:id="rId230" xr:uid="{00000000-0004-0000-0000-0000E5000000}"/>
    <hyperlink ref="G255" r:id="rId231" xr:uid="{00000000-0004-0000-0000-0000E6000000}"/>
    <hyperlink ref="G256" r:id="rId232" xr:uid="{00000000-0004-0000-0000-0000E7000000}"/>
    <hyperlink ref="G257" r:id="rId233" xr:uid="{00000000-0004-0000-0000-0000E8000000}"/>
    <hyperlink ref="G258" r:id="rId234" xr:uid="{00000000-0004-0000-0000-0000E9000000}"/>
    <hyperlink ref="G259" r:id="rId235" xr:uid="{00000000-0004-0000-0000-0000EA000000}"/>
    <hyperlink ref="G260" r:id="rId236" xr:uid="{00000000-0004-0000-0000-0000EB000000}"/>
    <hyperlink ref="G261" r:id="rId237" xr:uid="{00000000-0004-0000-0000-0000EC000000}"/>
    <hyperlink ref="G262" r:id="rId238" xr:uid="{00000000-0004-0000-0000-0000ED000000}"/>
    <hyperlink ref="G263" r:id="rId239" xr:uid="{00000000-0004-0000-0000-0000EE000000}"/>
    <hyperlink ref="G264" r:id="rId240" xr:uid="{00000000-0004-0000-0000-0000EF000000}"/>
    <hyperlink ref="G265" r:id="rId241" xr:uid="{00000000-0004-0000-0000-0000F0000000}"/>
    <hyperlink ref="G266" r:id="rId242" xr:uid="{00000000-0004-0000-0000-0000F1000000}"/>
    <hyperlink ref="G267" r:id="rId243" xr:uid="{00000000-0004-0000-0000-0000F2000000}"/>
    <hyperlink ref="G268" r:id="rId244" xr:uid="{00000000-0004-0000-0000-0000F3000000}"/>
    <hyperlink ref="G269" r:id="rId245" xr:uid="{00000000-0004-0000-0000-0000F4000000}"/>
    <hyperlink ref="G270" r:id="rId246" xr:uid="{00000000-0004-0000-0000-0000F5000000}"/>
    <hyperlink ref="G271" r:id="rId247" xr:uid="{00000000-0004-0000-0000-0000F6000000}"/>
    <hyperlink ref="G272" r:id="rId248" xr:uid="{00000000-0004-0000-0000-0000F7000000}"/>
    <hyperlink ref="G273" r:id="rId249" xr:uid="{00000000-0004-0000-0000-0000F8000000}"/>
    <hyperlink ref="G274" r:id="rId250" xr:uid="{00000000-0004-0000-0000-0000F9000000}"/>
    <hyperlink ref="G275" r:id="rId251" xr:uid="{00000000-0004-0000-0000-0000FA000000}"/>
    <hyperlink ref="G276" r:id="rId252" xr:uid="{00000000-0004-0000-0000-0000FB000000}"/>
    <hyperlink ref="G277" r:id="rId253" xr:uid="{00000000-0004-0000-0000-0000FC000000}"/>
    <hyperlink ref="G278" r:id="rId254" xr:uid="{00000000-0004-0000-0000-0000FD000000}"/>
    <hyperlink ref="G279" r:id="rId255" xr:uid="{00000000-0004-0000-0000-0000FE000000}"/>
    <hyperlink ref="G280" r:id="rId256" xr:uid="{00000000-0004-0000-0000-0000FF000000}"/>
    <hyperlink ref="G281" r:id="rId257" xr:uid="{00000000-0004-0000-0000-000000010000}"/>
    <hyperlink ref="G282" r:id="rId258" xr:uid="{00000000-0004-0000-0000-000001010000}"/>
    <hyperlink ref="G283" r:id="rId259" xr:uid="{00000000-0004-0000-0000-000002010000}"/>
    <hyperlink ref="G284" r:id="rId260" xr:uid="{00000000-0004-0000-0000-000003010000}"/>
    <hyperlink ref="G285" r:id="rId261" xr:uid="{00000000-0004-0000-0000-000004010000}"/>
    <hyperlink ref="G286" r:id="rId262" xr:uid="{00000000-0004-0000-0000-000005010000}"/>
    <hyperlink ref="G287" r:id="rId263" xr:uid="{00000000-0004-0000-0000-000006010000}"/>
    <hyperlink ref="G288" r:id="rId264" xr:uid="{00000000-0004-0000-0000-000007010000}"/>
    <hyperlink ref="G289" r:id="rId265" xr:uid="{00000000-0004-0000-0000-000008010000}"/>
    <hyperlink ref="G290" r:id="rId266" xr:uid="{00000000-0004-0000-0000-000009010000}"/>
    <hyperlink ref="G291" r:id="rId267" xr:uid="{00000000-0004-0000-0000-00000A010000}"/>
    <hyperlink ref="G292" r:id="rId268" xr:uid="{00000000-0004-0000-0000-00000B010000}"/>
    <hyperlink ref="G293" r:id="rId269" xr:uid="{00000000-0004-0000-0000-00000C010000}"/>
    <hyperlink ref="G294" r:id="rId270" xr:uid="{00000000-0004-0000-0000-00000D010000}"/>
    <hyperlink ref="G295" r:id="rId271" xr:uid="{00000000-0004-0000-0000-00000E010000}"/>
    <hyperlink ref="G296" r:id="rId272" xr:uid="{00000000-0004-0000-0000-00000F010000}"/>
    <hyperlink ref="G297" r:id="rId273" xr:uid="{00000000-0004-0000-0000-000010010000}"/>
    <hyperlink ref="G298" r:id="rId274" xr:uid="{00000000-0004-0000-0000-000011010000}"/>
    <hyperlink ref="G299" r:id="rId275" xr:uid="{00000000-0004-0000-0000-000012010000}"/>
    <hyperlink ref="G300" r:id="rId276" xr:uid="{00000000-0004-0000-0000-000013010000}"/>
    <hyperlink ref="G301" r:id="rId277" xr:uid="{00000000-0004-0000-0000-000014010000}"/>
    <hyperlink ref="G302" r:id="rId278" xr:uid="{00000000-0004-0000-0000-000015010000}"/>
    <hyperlink ref="G303" r:id="rId279" xr:uid="{00000000-0004-0000-0000-000016010000}"/>
    <hyperlink ref="G304" r:id="rId280" xr:uid="{00000000-0004-0000-0000-000017010000}"/>
    <hyperlink ref="G305" r:id="rId281" xr:uid="{00000000-0004-0000-0000-000018010000}"/>
    <hyperlink ref="G306" r:id="rId282" xr:uid="{00000000-0004-0000-0000-000019010000}"/>
    <hyperlink ref="G307" r:id="rId283" xr:uid="{00000000-0004-0000-0000-00001A010000}"/>
    <hyperlink ref="G308" r:id="rId284" xr:uid="{00000000-0004-0000-0000-00001B010000}"/>
    <hyperlink ref="G309" r:id="rId285" xr:uid="{00000000-0004-0000-0000-00001C010000}"/>
    <hyperlink ref="G310" r:id="rId286" xr:uid="{00000000-0004-0000-0000-00001D010000}"/>
    <hyperlink ref="G311" r:id="rId287" xr:uid="{00000000-0004-0000-0000-00001E010000}"/>
    <hyperlink ref="G312" r:id="rId288" xr:uid="{00000000-0004-0000-0000-00001F010000}"/>
    <hyperlink ref="G313" r:id="rId289" xr:uid="{00000000-0004-0000-0000-000020010000}"/>
    <hyperlink ref="G314" r:id="rId290" xr:uid="{00000000-0004-0000-0000-000021010000}"/>
    <hyperlink ref="G315" r:id="rId291" xr:uid="{00000000-0004-0000-0000-000022010000}"/>
    <hyperlink ref="G316" r:id="rId292" xr:uid="{00000000-0004-0000-0000-000023010000}"/>
    <hyperlink ref="G317" r:id="rId293" xr:uid="{00000000-0004-0000-0000-000024010000}"/>
    <hyperlink ref="G318" r:id="rId294" xr:uid="{00000000-0004-0000-0000-000025010000}"/>
    <hyperlink ref="G319" r:id="rId295" xr:uid="{00000000-0004-0000-0000-000026010000}"/>
    <hyperlink ref="G320" r:id="rId296" xr:uid="{00000000-0004-0000-0000-000027010000}"/>
    <hyperlink ref="G321" r:id="rId297" xr:uid="{00000000-0004-0000-0000-000028010000}"/>
    <hyperlink ref="G322" r:id="rId298" xr:uid="{00000000-0004-0000-0000-000029010000}"/>
    <hyperlink ref="G323" r:id="rId299" xr:uid="{00000000-0004-0000-0000-00002A010000}"/>
    <hyperlink ref="G324" r:id="rId300" xr:uid="{00000000-0004-0000-0000-00002B010000}"/>
    <hyperlink ref="G325" r:id="rId301" xr:uid="{00000000-0004-0000-0000-00002C010000}"/>
    <hyperlink ref="G326" r:id="rId302" xr:uid="{00000000-0004-0000-0000-00002D010000}"/>
    <hyperlink ref="G327" r:id="rId303" xr:uid="{00000000-0004-0000-0000-00002E010000}"/>
    <hyperlink ref="G328" r:id="rId304" xr:uid="{00000000-0004-0000-0000-00002F010000}"/>
    <hyperlink ref="G329" r:id="rId305" xr:uid="{00000000-0004-0000-0000-000030010000}"/>
    <hyperlink ref="G330" r:id="rId306" xr:uid="{00000000-0004-0000-0000-000031010000}"/>
    <hyperlink ref="G331" r:id="rId307" xr:uid="{00000000-0004-0000-0000-000032010000}"/>
    <hyperlink ref="G332" r:id="rId308" xr:uid="{00000000-0004-0000-0000-000033010000}"/>
    <hyperlink ref="G333" r:id="rId309" xr:uid="{00000000-0004-0000-0000-000034010000}"/>
    <hyperlink ref="G334" r:id="rId310" xr:uid="{00000000-0004-0000-0000-000035010000}"/>
    <hyperlink ref="G335" r:id="rId311" xr:uid="{00000000-0004-0000-0000-000036010000}"/>
    <hyperlink ref="G336" r:id="rId312" xr:uid="{00000000-0004-0000-0000-000037010000}"/>
    <hyperlink ref="G337" r:id="rId313" xr:uid="{00000000-0004-0000-0000-000038010000}"/>
    <hyperlink ref="G338" r:id="rId314" xr:uid="{00000000-0004-0000-0000-000039010000}"/>
    <hyperlink ref="G339" r:id="rId315" xr:uid="{00000000-0004-0000-0000-00003A010000}"/>
    <hyperlink ref="G340" r:id="rId316" xr:uid="{00000000-0004-0000-0000-00003B010000}"/>
    <hyperlink ref="G341" r:id="rId317" xr:uid="{00000000-0004-0000-0000-00003C010000}"/>
    <hyperlink ref="G342" r:id="rId318" xr:uid="{00000000-0004-0000-0000-00003D010000}"/>
    <hyperlink ref="G343" r:id="rId319" xr:uid="{00000000-0004-0000-0000-00003E010000}"/>
    <hyperlink ref="G344" r:id="rId320" xr:uid="{00000000-0004-0000-0000-00003F010000}"/>
    <hyperlink ref="G345" r:id="rId321" xr:uid="{00000000-0004-0000-0000-000040010000}"/>
    <hyperlink ref="G346" r:id="rId322" xr:uid="{00000000-0004-0000-0000-000041010000}"/>
    <hyperlink ref="G347" r:id="rId323" xr:uid="{00000000-0004-0000-0000-000042010000}"/>
    <hyperlink ref="G348" r:id="rId324" xr:uid="{00000000-0004-0000-0000-000043010000}"/>
    <hyperlink ref="G349" r:id="rId325" xr:uid="{00000000-0004-0000-0000-000044010000}"/>
    <hyperlink ref="G350" r:id="rId326" xr:uid="{00000000-0004-0000-0000-000045010000}"/>
    <hyperlink ref="G351" r:id="rId327" xr:uid="{00000000-0004-0000-0000-000046010000}"/>
    <hyperlink ref="G352" r:id="rId328" xr:uid="{00000000-0004-0000-0000-000047010000}"/>
    <hyperlink ref="G353" r:id="rId329" xr:uid="{00000000-0004-0000-0000-000048010000}"/>
    <hyperlink ref="G354" r:id="rId330" xr:uid="{00000000-0004-0000-0000-000049010000}"/>
    <hyperlink ref="G355" r:id="rId331" xr:uid="{00000000-0004-0000-0000-00004A010000}"/>
    <hyperlink ref="G356" r:id="rId332" xr:uid="{00000000-0004-0000-0000-00004B010000}"/>
    <hyperlink ref="G357" r:id="rId333" xr:uid="{00000000-0004-0000-0000-00004C010000}"/>
    <hyperlink ref="G358" r:id="rId334" xr:uid="{00000000-0004-0000-0000-00004D010000}"/>
    <hyperlink ref="G359" r:id="rId335" xr:uid="{00000000-0004-0000-0000-00004E010000}"/>
    <hyperlink ref="G360" r:id="rId336" xr:uid="{00000000-0004-0000-0000-00004F010000}"/>
    <hyperlink ref="G363" r:id="rId337" xr:uid="{00000000-0004-0000-0000-000050010000}"/>
    <hyperlink ref="G364" r:id="rId338" xr:uid="{00000000-0004-0000-0000-000051010000}"/>
    <hyperlink ref="G365" r:id="rId339" xr:uid="{00000000-0004-0000-0000-000052010000}"/>
    <hyperlink ref="G366" r:id="rId340" xr:uid="{00000000-0004-0000-0000-000053010000}"/>
    <hyperlink ref="G367" r:id="rId341" xr:uid="{00000000-0004-0000-0000-000054010000}"/>
    <hyperlink ref="G368" r:id="rId342" xr:uid="{00000000-0004-0000-0000-000055010000}"/>
    <hyperlink ref="G369" r:id="rId343" xr:uid="{00000000-0004-0000-0000-000056010000}"/>
    <hyperlink ref="G370" r:id="rId344" xr:uid="{00000000-0004-0000-0000-000057010000}"/>
    <hyperlink ref="G371" r:id="rId345" xr:uid="{00000000-0004-0000-0000-000058010000}"/>
    <hyperlink ref="G372" r:id="rId346" xr:uid="{00000000-0004-0000-0000-000059010000}"/>
    <hyperlink ref="G373" r:id="rId347" xr:uid="{00000000-0004-0000-0000-00005A010000}"/>
    <hyperlink ref="G374" r:id="rId348" xr:uid="{00000000-0004-0000-0000-00005B010000}"/>
    <hyperlink ref="G375" r:id="rId349" xr:uid="{00000000-0004-0000-0000-00005C010000}"/>
    <hyperlink ref="G376" r:id="rId350" xr:uid="{00000000-0004-0000-0000-00005D010000}"/>
    <hyperlink ref="G377" r:id="rId351" xr:uid="{00000000-0004-0000-0000-00005E010000}"/>
    <hyperlink ref="G378" r:id="rId352" xr:uid="{00000000-0004-0000-0000-00005F010000}"/>
    <hyperlink ref="G379" r:id="rId353" xr:uid="{00000000-0004-0000-0000-000060010000}"/>
    <hyperlink ref="G380" r:id="rId354" xr:uid="{00000000-0004-0000-0000-000061010000}"/>
    <hyperlink ref="G381" r:id="rId355" xr:uid="{00000000-0004-0000-0000-000062010000}"/>
    <hyperlink ref="G382" r:id="rId356" xr:uid="{00000000-0004-0000-0000-000063010000}"/>
    <hyperlink ref="G459" r:id="rId357" xr:uid="{00000000-0004-0000-0000-000064010000}"/>
    <hyperlink ref="G460" r:id="rId358" xr:uid="{00000000-0004-0000-0000-000065010000}"/>
    <hyperlink ref="G461" r:id="rId359" xr:uid="{00000000-0004-0000-0000-000066010000}"/>
    <hyperlink ref="G462" r:id="rId360" xr:uid="{00000000-0004-0000-0000-000067010000}"/>
    <hyperlink ref="G463" r:id="rId361" xr:uid="{00000000-0004-0000-0000-000068010000}"/>
    <hyperlink ref="G464" r:id="rId362" xr:uid="{00000000-0004-0000-0000-000069010000}"/>
    <hyperlink ref="G465" r:id="rId363" xr:uid="{00000000-0004-0000-0000-00006A010000}"/>
    <hyperlink ref="G466" r:id="rId364" xr:uid="{00000000-0004-0000-0000-00006B010000}"/>
    <hyperlink ref="G467" r:id="rId365" xr:uid="{00000000-0004-0000-0000-00006C010000}"/>
    <hyperlink ref="G468" r:id="rId366" xr:uid="{00000000-0004-0000-0000-00006D010000}"/>
    <hyperlink ref="G469" r:id="rId367" xr:uid="{00000000-0004-0000-0000-00006E010000}"/>
    <hyperlink ref="G470" r:id="rId368" xr:uid="{00000000-0004-0000-0000-00006F010000}"/>
    <hyperlink ref="G471" r:id="rId369" xr:uid="{00000000-0004-0000-0000-000070010000}"/>
    <hyperlink ref="G472" r:id="rId370" xr:uid="{00000000-0004-0000-0000-000071010000}"/>
    <hyperlink ref="G473" r:id="rId371" xr:uid="{00000000-0004-0000-0000-000072010000}"/>
    <hyperlink ref="G474" r:id="rId372" xr:uid="{00000000-0004-0000-0000-000073010000}"/>
    <hyperlink ref="G475" r:id="rId373" xr:uid="{00000000-0004-0000-0000-000074010000}"/>
    <hyperlink ref="G476" r:id="rId374" xr:uid="{00000000-0004-0000-0000-000075010000}"/>
    <hyperlink ref="G477" r:id="rId375" xr:uid="{00000000-0004-0000-0000-000076010000}"/>
    <hyperlink ref="G478" r:id="rId376" xr:uid="{00000000-0004-0000-0000-000077010000}"/>
    <hyperlink ref="G479" r:id="rId377" xr:uid="{00000000-0004-0000-0000-000078010000}"/>
    <hyperlink ref="G480" r:id="rId378" xr:uid="{00000000-0004-0000-0000-000079010000}"/>
    <hyperlink ref="G481" r:id="rId379" xr:uid="{00000000-0004-0000-0000-00007A010000}"/>
    <hyperlink ref="G482" r:id="rId380" xr:uid="{00000000-0004-0000-0000-00007B010000}"/>
    <hyperlink ref="G483" r:id="rId381" xr:uid="{00000000-0004-0000-0000-00007C010000}"/>
    <hyperlink ref="G485" r:id="rId382" xr:uid="{00000000-0004-0000-0000-00007D010000}"/>
    <hyperlink ref="G486" r:id="rId383" xr:uid="{00000000-0004-0000-0000-00007E010000}"/>
    <hyperlink ref="G487" r:id="rId384" xr:uid="{00000000-0004-0000-0000-00007F010000}"/>
    <hyperlink ref="G488" r:id="rId385" xr:uid="{00000000-0004-0000-0000-000080010000}"/>
    <hyperlink ref="G489" r:id="rId386" xr:uid="{00000000-0004-0000-0000-000081010000}"/>
    <hyperlink ref="G490" r:id="rId387" xr:uid="{00000000-0004-0000-0000-000082010000}"/>
    <hyperlink ref="G491" r:id="rId388" xr:uid="{00000000-0004-0000-0000-000083010000}"/>
    <hyperlink ref="G492" r:id="rId389" xr:uid="{00000000-0004-0000-0000-000084010000}"/>
    <hyperlink ref="G493" r:id="rId390" xr:uid="{00000000-0004-0000-0000-000085010000}"/>
    <hyperlink ref="G494" r:id="rId391" xr:uid="{00000000-0004-0000-0000-000086010000}"/>
    <hyperlink ref="G495" r:id="rId392" xr:uid="{00000000-0004-0000-0000-000087010000}"/>
    <hyperlink ref="G496" r:id="rId393" xr:uid="{00000000-0004-0000-0000-000088010000}"/>
    <hyperlink ref="G497" r:id="rId394" xr:uid="{00000000-0004-0000-0000-000089010000}"/>
    <hyperlink ref="G498" r:id="rId395" xr:uid="{00000000-0004-0000-0000-00008A010000}"/>
    <hyperlink ref="G499" r:id="rId396" xr:uid="{00000000-0004-0000-0000-00008B010000}"/>
    <hyperlink ref="G500" r:id="rId397" xr:uid="{00000000-0004-0000-0000-00008C010000}"/>
    <hyperlink ref="G501" r:id="rId398" xr:uid="{00000000-0004-0000-0000-00008D010000}"/>
    <hyperlink ref="G502" r:id="rId399" xr:uid="{00000000-0004-0000-0000-00008E010000}"/>
    <hyperlink ref="G503" r:id="rId400" xr:uid="{00000000-0004-0000-0000-00008F010000}"/>
    <hyperlink ref="G504" r:id="rId401" xr:uid="{00000000-0004-0000-0000-000090010000}"/>
    <hyperlink ref="G505" r:id="rId402" xr:uid="{00000000-0004-0000-0000-000091010000}"/>
    <hyperlink ref="G506" r:id="rId403" xr:uid="{00000000-0004-0000-0000-000092010000}"/>
    <hyperlink ref="G507" r:id="rId404" xr:uid="{00000000-0004-0000-0000-000093010000}"/>
    <hyperlink ref="G508" r:id="rId405" xr:uid="{00000000-0004-0000-0000-000094010000}"/>
    <hyperlink ref="G509" r:id="rId406" xr:uid="{00000000-0004-0000-0000-000095010000}"/>
    <hyperlink ref="G510" r:id="rId407" xr:uid="{00000000-0004-0000-0000-000096010000}"/>
    <hyperlink ref="G511" r:id="rId408" xr:uid="{00000000-0004-0000-0000-000097010000}"/>
    <hyperlink ref="G512" r:id="rId409" xr:uid="{00000000-0004-0000-0000-000098010000}"/>
    <hyperlink ref="G513" r:id="rId410" xr:uid="{00000000-0004-0000-0000-000099010000}"/>
    <hyperlink ref="G514" r:id="rId411" xr:uid="{00000000-0004-0000-0000-00009A010000}"/>
    <hyperlink ref="G515" r:id="rId412" xr:uid="{00000000-0004-0000-0000-00009B010000}"/>
    <hyperlink ref="G516" r:id="rId413" xr:uid="{00000000-0004-0000-0000-00009C010000}"/>
    <hyperlink ref="G517" r:id="rId414" xr:uid="{00000000-0004-0000-0000-00009D010000}"/>
    <hyperlink ref="G518" r:id="rId415" xr:uid="{00000000-0004-0000-0000-00009E010000}"/>
    <hyperlink ref="G519" r:id="rId416" xr:uid="{00000000-0004-0000-0000-00009F010000}"/>
    <hyperlink ref="G520" r:id="rId417" xr:uid="{00000000-0004-0000-0000-0000A0010000}"/>
    <hyperlink ref="G521" r:id="rId418" xr:uid="{00000000-0004-0000-0000-0000A1010000}"/>
    <hyperlink ref="G522" r:id="rId419" xr:uid="{00000000-0004-0000-0000-0000A2010000}"/>
    <hyperlink ref="G523" r:id="rId420" xr:uid="{00000000-0004-0000-0000-0000A3010000}"/>
    <hyperlink ref="G524" r:id="rId421" xr:uid="{00000000-0004-0000-0000-0000A4010000}"/>
    <hyperlink ref="G525" r:id="rId422" xr:uid="{00000000-0004-0000-0000-0000A5010000}"/>
    <hyperlink ref="G526" r:id="rId423" xr:uid="{00000000-0004-0000-0000-0000A6010000}"/>
    <hyperlink ref="G527" r:id="rId424" xr:uid="{00000000-0004-0000-0000-0000A7010000}"/>
    <hyperlink ref="G528" r:id="rId425" xr:uid="{00000000-0004-0000-0000-0000A8010000}"/>
    <hyperlink ref="G529" r:id="rId426" xr:uid="{00000000-0004-0000-0000-0000A9010000}"/>
    <hyperlink ref="G630" r:id="rId427" xr:uid="{00000000-0004-0000-0000-0000AA010000}"/>
    <hyperlink ref="G631" r:id="rId428" xr:uid="{00000000-0004-0000-0000-0000AB010000}"/>
    <hyperlink ref="G632" r:id="rId429" xr:uid="{00000000-0004-0000-0000-0000AC010000}"/>
    <hyperlink ref="G634" r:id="rId430" xr:uid="{00000000-0004-0000-0000-0000AD010000}"/>
    <hyperlink ref="G635" r:id="rId431" xr:uid="{00000000-0004-0000-0000-0000AE010000}"/>
    <hyperlink ref="G636" r:id="rId432" xr:uid="{00000000-0004-0000-0000-0000AF010000}"/>
    <hyperlink ref="G637" r:id="rId433" xr:uid="{00000000-0004-0000-0000-0000B0010000}"/>
    <hyperlink ref="G638" r:id="rId434" xr:uid="{00000000-0004-0000-0000-0000B1010000}"/>
    <hyperlink ref="G639" r:id="rId435" xr:uid="{00000000-0004-0000-0000-0000B2010000}"/>
    <hyperlink ref="G642" r:id="rId436" xr:uid="{00000000-0004-0000-0000-0000B3010000}"/>
    <hyperlink ref="G644" r:id="rId437" xr:uid="{00000000-0004-0000-0000-0000B4010000}"/>
    <hyperlink ref="G649" r:id="rId438" xr:uid="{00000000-0004-0000-0000-0000B5010000}"/>
    <hyperlink ref="G650" r:id="rId439" xr:uid="{00000000-0004-0000-0000-0000B6010000}"/>
    <hyperlink ref="G652" r:id="rId440" xr:uid="{00000000-0004-0000-0000-0000B7010000}"/>
    <hyperlink ref="G655" r:id="rId441" xr:uid="{00000000-0004-0000-0000-0000B8010000}"/>
    <hyperlink ref="G656" r:id="rId442" xr:uid="{00000000-0004-0000-0000-0000B9010000}"/>
    <hyperlink ref="G657" r:id="rId443" xr:uid="{00000000-0004-0000-0000-0000BA010000}"/>
    <hyperlink ref="G658" r:id="rId444" xr:uid="{00000000-0004-0000-0000-0000BB010000}"/>
    <hyperlink ref="G661" r:id="rId445" xr:uid="{00000000-0004-0000-0000-0000BC010000}"/>
    <hyperlink ref="G679" r:id="rId446" xr:uid="{00000000-0004-0000-0000-0000BD010000}"/>
    <hyperlink ref="G702" r:id="rId447" xr:uid="{00000000-0004-0000-0000-0000BE010000}"/>
    <hyperlink ref="G751" r:id="rId448" xr:uid="{00000000-0004-0000-0000-0000BF010000}"/>
    <hyperlink ref="G752" r:id="rId449" xr:uid="{00000000-0004-0000-0000-0000C0010000}"/>
    <hyperlink ref="G753" r:id="rId450" xr:uid="{00000000-0004-0000-0000-0000C1010000}"/>
    <hyperlink ref="G754" r:id="rId451" xr:uid="{00000000-0004-0000-0000-0000C2010000}"/>
    <hyperlink ref="G755" r:id="rId452" xr:uid="{00000000-0004-0000-0000-0000C3010000}"/>
    <hyperlink ref="G756" r:id="rId453" xr:uid="{00000000-0004-0000-0000-0000C4010000}"/>
    <hyperlink ref="G757" r:id="rId454" xr:uid="{00000000-0004-0000-0000-0000C5010000}"/>
    <hyperlink ref="G758" r:id="rId455" xr:uid="{00000000-0004-0000-0000-0000C6010000}"/>
    <hyperlink ref="G759" r:id="rId456" xr:uid="{00000000-0004-0000-0000-0000C7010000}"/>
    <hyperlink ref="G760" r:id="rId457" xr:uid="{00000000-0004-0000-0000-0000C8010000}"/>
    <hyperlink ref="G761" r:id="rId458" xr:uid="{00000000-0004-0000-0000-0000C9010000}"/>
    <hyperlink ref="G762" r:id="rId459" xr:uid="{00000000-0004-0000-0000-0000CA010000}"/>
    <hyperlink ref="G763" r:id="rId460" xr:uid="{00000000-0004-0000-0000-0000CB010000}"/>
    <hyperlink ref="G764" r:id="rId461" xr:uid="{00000000-0004-0000-0000-0000CC010000}"/>
    <hyperlink ref="G765" r:id="rId462" xr:uid="{00000000-0004-0000-0000-0000CD010000}"/>
    <hyperlink ref="G766" r:id="rId463" xr:uid="{00000000-0004-0000-0000-0000CE010000}"/>
    <hyperlink ref="G767" r:id="rId464" xr:uid="{00000000-0004-0000-0000-0000CF010000}"/>
    <hyperlink ref="G768" r:id="rId465" xr:uid="{00000000-0004-0000-0000-0000D0010000}"/>
    <hyperlink ref="G769" r:id="rId466" xr:uid="{00000000-0004-0000-0000-0000D1010000}"/>
    <hyperlink ref="G770" r:id="rId467" xr:uid="{00000000-0004-0000-0000-0000D2010000}"/>
    <hyperlink ref="G771" r:id="rId468" xr:uid="{00000000-0004-0000-0000-0000D3010000}"/>
    <hyperlink ref="G772" r:id="rId469" xr:uid="{00000000-0004-0000-0000-0000D4010000}"/>
    <hyperlink ref="G773" r:id="rId470" xr:uid="{00000000-0004-0000-0000-0000D5010000}"/>
    <hyperlink ref="G774" r:id="rId471" xr:uid="{00000000-0004-0000-0000-0000D6010000}"/>
    <hyperlink ref="G775" r:id="rId472" xr:uid="{00000000-0004-0000-0000-0000D7010000}"/>
    <hyperlink ref="G776" r:id="rId473" xr:uid="{00000000-0004-0000-0000-0000D8010000}"/>
    <hyperlink ref="G777" r:id="rId474" xr:uid="{00000000-0004-0000-0000-0000D9010000}"/>
    <hyperlink ref="G778" r:id="rId475" xr:uid="{00000000-0004-0000-0000-0000DA010000}"/>
    <hyperlink ref="G779" r:id="rId476" xr:uid="{00000000-0004-0000-0000-0000DB010000}"/>
    <hyperlink ref="G780" r:id="rId477" xr:uid="{00000000-0004-0000-0000-0000DC010000}"/>
    <hyperlink ref="G781" r:id="rId478" xr:uid="{00000000-0004-0000-0000-0000DD010000}"/>
    <hyperlink ref="G782" r:id="rId479" xr:uid="{00000000-0004-0000-0000-0000DE010000}"/>
    <hyperlink ref="G783" r:id="rId480" xr:uid="{00000000-0004-0000-0000-0000DF010000}"/>
    <hyperlink ref="G784" r:id="rId481" xr:uid="{00000000-0004-0000-0000-0000E0010000}"/>
    <hyperlink ref="G785" r:id="rId482" xr:uid="{00000000-0004-0000-0000-0000E1010000}"/>
    <hyperlink ref="G786" r:id="rId483" xr:uid="{00000000-0004-0000-0000-0000E2010000}"/>
    <hyperlink ref="G787" r:id="rId484" xr:uid="{00000000-0004-0000-0000-0000E3010000}"/>
    <hyperlink ref="G788" r:id="rId485" xr:uid="{00000000-0004-0000-0000-0000E4010000}"/>
    <hyperlink ref="G789" r:id="rId486" xr:uid="{00000000-0004-0000-0000-0000E5010000}"/>
    <hyperlink ref="G790" r:id="rId487" xr:uid="{00000000-0004-0000-0000-0000E6010000}"/>
    <hyperlink ref="G791" r:id="rId488" xr:uid="{00000000-0004-0000-0000-0000E7010000}"/>
    <hyperlink ref="G792" r:id="rId489" xr:uid="{00000000-0004-0000-0000-0000E8010000}"/>
    <hyperlink ref="G793" r:id="rId490" xr:uid="{00000000-0004-0000-0000-0000E9010000}"/>
    <hyperlink ref="G794" r:id="rId491" xr:uid="{00000000-0004-0000-0000-0000EA010000}"/>
    <hyperlink ref="G795" r:id="rId492" xr:uid="{00000000-0004-0000-0000-0000EB010000}"/>
    <hyperlink ref="G796" r:id="rId493" xr:uid="{00000000-0004-0000-0000-0000EC010000}"/>
    <hyperlink ref="G797" r:id="rId494" xr:uid="{00000000-0004-0000-0000-0000ED010000}"/>
    <hyperlink ref="G798" r:id="rId495" xr:uid="{00000000-0004-0000-0000-0000EE010000}"/>
    <hyperlink ref="G799" r:id="rId496" xr:uid="{00000000-0004-0000-0000-0000EF010000}"/>
    <hyperlink ref="G800" r:id="rId497" xr:uid="{00000000-0004-0000-0000-0000F0010000}"/>
    <hyperlink ref="G801" r:id="rId498" xr:uid="{00000000-0004-0000-0000-0000F1010000}"/>
    <hyperlink ref="G802" r:id="rId499" xr:uid="{00000000-0004-0000-0000-0000F2010000}"/>
    <hyperlink ref="G803" r:id="rId500" xr:uid="{00000000-0004-0000-0000-0000F3010000}"/>
    <hyperlink ref="G804" r:id="rId501" xr:uid="{00000000-0004-0000-0000-0000F4010000}"/>
    <hyperlink ref="G805" r:id="rId502" xr:uid="{00000000-0004-0000-0000-0000F5010000}"/>
    <hyperlink ref="G806" r:id="rId503" xr:uid="{00000000-0004-0000-0000-0000F6010000}"/>
    <hyperlink ref="G807" r:id="rId504" xr:uid="{00000000-0004-0000-0000-0000F7010000}"/>
    <hyperlink ref="G808" r:id="rId505" xr:uid="{00000000-0004-0000-0000-0000F8010000}"/>
    <hyperlink ref="G809" r:id="rId506" xr:uid="{00000000-0004-0000-0000-0000F9010000}"/>
    <hyperlink ref="G810" r:id="rId507" xr:uid="{00000000-0004-0000-0000-0000FA010000}"/>
    <hyperlink ref="G811" r:id="rId508" xr:uid="{00000000-0004-0000-0000-0000FB010000}"/>
    <hyperlink ref="G812" r:id="rId509" xr:uid="{00000000-0004-0000-0000-0000FC010000}"/>
    <hyperlink ref="G813" r:id="rId510" xr:uid="{00000000-0004-0000-0000-0000FD010000}"/>
    <hyperlink ref="G814" r:id="rId511" xr:uid="{00000000-0004-0000-0000-0000FE010000}"/>
    <hyperlink ref="G815" r:id="rId512" xr:uid="{00000000-0004-0000-0000-0000FF010000}"/>
    <hyperlink ref="G816" r:id="rId513" xr:uid="{00000000-0004-0000-0000-000000020000}"/>
    <hyperlink ref="G817" r:id="rId514" xr:uid="{00000000-0004-0000-0000-000001020000}"/>
    <hyperlink ref="G818" r:id="rId515" xr:uid="{00000000-0004-0000-0000-000002020000}"/>
    <hyperlink ref="G819" r:id="rId516" xr:uid="{00000000-0004-0000-0000-000003020000}"/>
    <hyperlink ref="G820" r:id="rId517" xr:uid="{00000000-0004-0000-0000-000004020000}"/>
    <hyperlink ref="G821" r:id="rId518" xr:uid="{00000000-0004-0000-0000-000005020000}"/>
    <hyperlink ref="G822" r:id="rId519" xr:uid="{00000000-0004-0000-0000-000006020000}"/>
    <hyperlink ref="G823" r:id="rId520" xr:uid="{00000000-0004-0000-0000-000007020000}"/>
    <hyperlink ref="G824" r:id="rId521" xr:uid="{00000000-0004-0000-0000-000008020000}"/>
    <hyperlink ref="G825" r:id="rId522" xr:uid="{00000000-0004-0000-0000-000009020000}"/>
    <hyperlink ref="G826" r:id="rId523" xr:uid="{00000000-0004-0000-0000-00000A020000}"/>
    <hyperlink ref="G827" r:id="rId524" xr:uid="{00000000-0004-0000-0000-00000B020000}"/>
    <hyperlink ref="G828" r:id="rId525" xr:uid="{00000000-0004-0000-0000-00000C020000}"/>
    <hyperlink ref="G829" r:id="rId526" xr:uid="{00000000-0004-0000-0000-00000D020000}"/>
    <hyperlink ref="G830" r:id="rId527" xr:uid="{00000000-0004-0000-0000-00000E020000}"/>
    <hyperlink ref="G831" r:id="rId528" xr:uid="{00000000-0004-0000-0000-00000F020000}"/>
    <hyperlink ref="G832" r:id="rId529" xr:uid="{00000000-0004-0000-0000-000010020000}"/>
    <hyperlink ref="G833" r:id="rId530" xr:uid="{00000000-0004-0000-0000-000011020000}"/>
    <hyperlink ref="G834" r:id="rId531" xr:uid="{00000000-0004-0000-0000-000012020000}"/>
    <hyperlink ref="G835" r:id="rId532" xr:uid="{00000000-0004-0000-0000-000013020000}"/>
    <hyperlink ref="G836" r:id="rId533" xr:uid="{00000000-0004-0000-0000-000014020000}"/>
    <hyperlink ref="G837" r:id="rId534" xr:uid="{00000000-0004-0000-0000-000015020000}"/>
    <hyperlink ref="G838" r:id="rId535" xr:uid="{00000000-0004-0000-0000-000016020000}"/>
    <hyperlink ref="G839" r:id="rId536" xr:uid="{00000000-0004-0000-0000-000017020000}"/>
    <hyperlink ref="G840" r:id="rId537" xr:uid="{00000000-0004-0000-0000-000018020000}"/>
    <hyperlink ref="G841" r:id="rId538" xr:uid="{00000000-0004-0000-0000-000019020000}"/>
    <hyperlink ref="G842" r:id="rId539" xr:uid="{00000000-0004-0000-0000-00001A020000}"/>
    <hyperlink ref="G843" r:id="rId540" xr:uid="{00000000-0004-0000-0000-00001B020000}"/>
    <hyperlink ref="G844" r:id="rId541" xr:uid="{00000000-0004-0000-0000-00001C020000}"/>
    <hyperlink ref="G845" r:id="rId542" xr:uid="{00000000-0004-0000-0000-00001D020000}"/>
    <hyperlink ref="G846" r:id="rId543" xr:uid="{00000000-0004-0000-0000-00001E020000}"/>
    <hyperlink ref="G847" r:id="rId544" xr:uid="{00000000-0004-0000-0000-00001F020000}"/>
    <hyperlink ref="G848" r:id="rId545" xr:uid="{00000000-0004-0000-0000-000020020000}"/>
    <hyperlink ref="G849" r:id="rId546" xr:uid="{00000000-0004-0000-0000-000021020000}"/>
    <hyperlink ref="G850" r:id="rId547" xr:uid="{00000000-0004-0000-0000-000022020000}"/>
    <hyperlink ref="G851" r:id="rId548" xr:uid="{00000000-0004-0000-0000-000023020000}"/>
    <hyperlink ref="G852" r:id="rId549" xr:uid="{00000000-0004-0000-0000-000024020000}"/>
    <hyperlink ref="G853" r:id="rId550" xr:uid="{00000000-0004-0000-0000-000025020000}"/>
    <hyperlink ref="G854" r:id="rId551" xr:uid="{00000000-0004-0000-0000-000026020000}"/>
    <hyperlink ref="G855" r:id="rId552" xr:uid="{00000000-0004-0000-0000-000027020000}"/>
    <hyperlink ref="G856" r:id="rId553" xr:uid="{00000000-0004-0000-0000-000028020000}"/>
    <hyperlink ref="G857" r:id="rId554" xr:uid="{00000000-0004-0000-0000-000029020000}"/>
    <hyperlink ref="G858" r:id="rId555" xr:uid="{00000000-0004-0000-0000-00002A020000}"/>
    <hyperlink ref="G859" r:id="rId556" xr:uid="{00000000-0004-0000-0000-00002B020000}"/>
    <hyperlink ref="G860" r:id="rId557" xr:uid="{00000000-0004-0000-0000-00002C020000}"/>
    <hyperlink ref="G861" r:id="rId558" xr:uid="{00000000-0004-0000-0000-00002D020000}"/>
    <hyperlink ref="G862" r:id="rId559" xr:uid="{00000000-0004-0000-0000-00002E020000}"/>
    <hyperlink ref="G863" r:id="rId560" xr:uid="{00000000-0004-0000-0000-00002F020000}"/>
    <hyperlink ref="G864" r:id="rId561" xr:uid="{00000000-0004-0000-0000-000030020000}"/>
    <hyperlink ref="G865" r:id="rId562" xr:uid="{00000000-0004-0000-0000-000031020000}"/>
    <hyperlink ref="G866" r:id="rId563" xr:uid="{00000000-0004-0000-0000-000032020000}"/>
    <hyperlink ref="G867" r:id="rId564" xr:uid="{00000000-0004-0000-0000-000033020000}"/>
    <hyperlink ref="G868" r:id="rId565" xr:uid="{00000000-0004-0000-0000-000034020000}"/>
    <hyperlink ref="G869" r:id="rId566" xr:uid="{00000000-0004-0000-0000-000035020000}"/>
    <hyperlink ref="G870" r:id="rId567" xr:uid="{00000000-0004-0000-0000-000036020000}"/>
    <hyperlink ref="G871" r:id="rId568" xr:uid="{00000000-0004-0000-0000-000037020000}"/>
    <hyperlink ref="G872" r:id="rId569" xr:uid="{00000000-0004-0000-0000-000038020000}"/>
    <hyperlink ref="G873" r:id="rId570" xr:uid="{00000000-0004-0000-0000-000039020000}"/>
    <hyperlink ref="G874" r:id="rId571" xr:uid="{00000000-0004-0000-0000-00003A020000}"/>
    <hyperlink ref="G875" r:id="rId572" xr:uid="{00000000-0004-0000-0000-00003B020000}"/>
    <hyperlink ref="G876" r:id="rId573" xr:uid="{00000000-0004-0000-0000-00003C020000}"/>
    <hyperlink ref="G878" r:id="rId574" xr:uid="{00000000-0004-0000-0000-00003D020000}"/>
    <hyperlink ref="G879" r:id="rId575" xr:uid="{00000000-0004-0000-0000-00003E020000}"/>
    <hyperlink ref="G880" r:id="rId576" xr:uid="{00000000-0004-0000-0000-00003F020000}"/>
    <hyperlink ref="G881" r:id="rId577" xr:uid="{00000000-0004-0000-0000-000040020000}"/>
    <hyperlink ref="G882" r:id="rId578" xr:uid="{00000000-0004-0000-0000-000041020000}"/>
    <hyperlink ref="G883" r:id="rId579" xr:uid="{00000000-0004-0000-0000-000042020000}"/>
    <hyperlink ref="G884" r:id="rId580" xr:uid="{00000000-0004-0000-0000-000043020000}"/>
    <hyperlink ref="G885" r:id="rId581" xr:uid="{00000000-0004-0000-0000-000044020000}"/>
    <hyperlink ref="G886" r:id="rId582" xr:uid="{00000000-0004-0000-0000-000045020000}"/>
    <hyperlink ref="G887" r:id="rId583" xr:uid="{00000000-0004-0000-0000-000046020000}"/>
    <hyperlink ref="G888" r:id="rId584" xr:uid="{00000000-0004-0000-0000-000047020000}"/>
    <hyperlink ref="G889" r:id="rId585" xr:uid="{00000000-0004-0000-0000-000048020000}"/>
    <hyperlink ref="G890" r:id="rId586" xr:uid="{00000000-0004-0000-0000-000049020000}"/>
    <hyperlink ref="G891" r:id="rId587" xr:uid="{00000000-0004-0000-0000-00004A020000}"/>
    <hyperlink ref="G892" r:id="rId588" xr:uid="{00000000-0004-0000-0000-00004B020000}"/>
    <hyperlink ref="G893" r:id="rId589" xr:uid="{00000000-0004-0000-0000-00004C020000}"/>
    <hyperlink ref="G894" r:id="rId590" xr:uid="{00000000-0004-0000-0000-00004D020000}"/>
    <hyperlink ref="G895" r:id="rId591" xr:uid="{00000000-0004-0000-0000-00004E020000}"/>
    <hyperlink ref="G896" r:id="rId592" xr:uid="{00000000-0004-0000-0000-00004F020000}"/>
    <hyperlink ref="G897" r:id="rId593" xr:uid="{00000000-0004-0000-0000-000050020000}"/>
    <hyperlink ref="G898" r:id="rId594" xr:uid="{00000000-0004-0000-0000-000051020000}"/>
    <hyperlink ref="G899" r:id="rId595" xr:uid="{00000000-0004-0000-0000-000052020000}"/>
    <hyperlink ref="G900" r:id="rId596" xr:uid="{00000000-0004-0000-0000-000053020000}"/>
    <hyperlink ref="G901" r:id="rId597" xr:uid="{00000000-0004-0000-0000-000054020000}"/>
    <hyperlink ref="G902" r:id="rId598" xr:uid="{00000000-0004-0000-0000-000055020000}"/>
    <hyperlink ref="G903" r:id="rId599" xr:uid="{00000000-0004-0000-0000-000056020000}"/>
    <hyperlink ref="G904" r:id="rId600" xr:uid="{00000000-0004-0000-0000-000057020000}"/>
    <hyperlink ref="G905" r:id="rId601" xr:uid="{00000000-0004-0000-0000-000058020000}"/>
    <hyperlink ref="G906" r:id="rId602" xr:uid="{00000000-0004-0000-0000-000059020000}"/>
    <hyperlink ref="G907" r:id="rId603" xr:uid="{00000000-0004-0000-0000-00005A020000}"/>
    <hyperlink ref="G908" r:id="rId604" xr:uid="{00000000-0004-0000-0000-00005B020000}"/>
    <hyperlink ref="G909" r:id="rId605" xr:uid="{00000000-0004-0000-0000-00005C020000}"/>
    <hyperlink ref="G910" r:id="rId606" xr:uid="{00000000-0004-0000-0000-00005D020000}"/>
    <hyperlink ref="G911" r:id="rId607" xr:uid="{00000000-0004-0000-0000-00005E020000}"/>
    <hyperlink ref="G912" r:id="rId608" xr:uid="{00000000-0004-0000-0000-00005F020000}"/>
    <hyperlink ref="G913" r:id="rId609" xr:uid="{00000000-0004-0000-0000-000060020000}"/>
    <hyperlink ref="G914" r:id="rId610" xr:uid="{00000000-0004-0000-0000-000061020000}"/>
    <hyperlink ref="G915" r:id="rId611" xr:uid="{00000000-0004-0000-0000-000062020000}"/>
    <hyperlink ref="G916" r:id="rId612" xr:uid="{00000000-0004-0000-0000-000063020000}"/>
    <hyperlink ref="G917" r:id="rId613" xr:uid="{00000000-0004-0000-0000-000064020000}"/>
    <hyperlink ref="G918" r:id="rId614" xr:uid="{00000000-0004-0000-0000-000065020000}"/>
    <hyperlink ref="G919" r:id="rId615" xr:uid="{00000000-0004-0000-0000-000066020000}"/>
    <hyperlink ref="G920" r:id="rId616" xr:uid="{00000000-0004-0000-0000-000067020000}"/>
    <hyperlink ref="G921" r:id="rId617" xr:uid="{00000000-0004-0000-0000-000068020000}"/>
    <hyperlink ref="G922" r:id="rId618" xr:uid="{00000000-0004-0000-0000-000069020000}"/>
    <hyperlink ref="G923" r:id="rId619" xr:uid="{00000000-0004-0000-0000-00006A020000}"/>
    <hyperlink ref="G924" r:id="rId620" xr:uid="{00000000-0004-0000-0000-00006B020000}"/>
    <hyperlink ref="G925" r:id="rId621" xr:uid="{00000000-0004-0000-0000-00006C020000}"/>
    <hyperlink ref="G926" r:id="rId622" xr:uid="{00000000-0004-0000-0000-00006D020000}"/>
    <hyperlink ref="G927" r:id="rId623" xr:uid="{00000000-0004-0000-0000-00006E020000}"/>
    <hyperlink ref="G928" r:id="rId624" xr:uid="{00000000-0004-0000-0000-00006F020000}"/>
    <hyperlink ref="G929" r:id="rId625" xr:uid="{00000000-0004-0000-0000-000070020000}"/>
    <hyperlink ref="G930" r:id="rId626" xr:uid="{00000000-0004-0000-0000-000071020000}"/>
    <hyperlink ref="G931" r:id="rId627" xr:uid="{00000000-0004-0000-0000-000072020000}"/>
    <hyperlink ref="G932" r:id="rId628" xr:uid="{00000000-0004-0000-0000-000073020000}"/>
    <hyperlink ref="G933" r:id="rId629" xr:uid="{00000000-0004-0000-0000-000074020000}"/>
    <hyperlink ref="G934" r:id="rId630" xr:uid="{00000000-0004-0000-0000-000075020000}"/>
    <hyperlink ref="G935" r:id="rId631" xr:uid="{00000000-0004-0000-0000-000076020000}"/>
    <hyperlink ref="G936" r:id="rId632" xr:uid="{00000000-0004-0000-0000-000077020000}"/>
    <hyperlink ref="G937" r:id="rId633" xr:uid="{00000000-0004-0000-0000-000078020000}"/>
    <hyperlink ref="G938" r:id="rId634" xr:uid="{00000000-0004-0000-0000-000079020000}"/>
    <hyperlink ref="G982" r:id="rId635" xr:uid="{00000000-0004-0000-0000-00007A020000}"/>
    <hyperlink ref="G983" r:id="rId636" xr:uid="{00000000-0004-0000-0000-00007B020000}"/>
    <hyperlink ref="G984" r:id="rId637" xr:uid="{00000000-0004-0000-0000-00007C020000}"/>
    <hyperlink ref="G985" r:id="rId638" xr:uid="{00000000-0004-0000-0000-00007D020000}"/>
    <hyperlink ref="G986" r:id="rId639" xr:uid="{00000000-0004-0000-0000-00007E020000}"/>
    <hyperlink ref="G987" r:id="rId640" xr:uid="{00000000-0004-0000-0000-00007F020000}"/>
    <hyperlink ref="G988" r:id="rId641" xr:uid="{00000000-0004-0000-0000-000080020000}"/>
    <hyperlink ref="G989" r:id="rId642" xr:uid="{00000000-0004-0000-0000-000081020000}"/>
    <hyperlink ref="G990" r:id="rId643" xr:uid="{00000000-0004-0000-0000-000082020000}"/>
    <hyperlink ref="G991" r:id="rId644" xr:uid="{00000000-0004-0000-0000-000083020000}"/>
    <hyperlink ref="G992" r:id="rId645" xr:uid="{00000000-0004-0000-0000-000084020000}"/>
    <hyperlink ref="G993" r:id="rId646" xr:uid="{00000000-0004-0000-0000-000085020000}"/>
    <hyperlink ref="G994" r:id="rId647" xr:uid="{00000000-0004-0000-0000-000086020000}"/>
    <hyperlink ref="G995" r:id="rId648" xr:uid="{00000000-0004-0000-0000-000087020000}"/>
    <hyperlink ref="G996" r:id="rId649" xr:uid="{00000000-0004-0000-0000-000088020000}"/>
    <hyperlink ref="G997" r:id="rId650" xr:uid="{00000000-0004-0000-0000-000089020000}"/>
    <hyperlink ref="G998" r:id="rId651" xr:uid="{00000000-0004-0000-0000-00008A020000}"/>
    <hyperlink ref="G999" r:id="rId652" xr:uid="{00000000-0004-0000-0000-00008B020000}"/>
    <hyperlink ref="G1000" r:id="rId653" xr:uid="{00000000-0004-0000-0000-00008C020000}"/>
    <hyperlink ref="G1001" r:id="rId654" xr:uid="{00000000-0004-0000-0000-00008D020000}"/>
    <hyperlink ref="G1002" r:id="rId655" xr:uid="{00000000-0004-0000-0000-00008E020000}"/>
    <hyperlink ref="G1003" r:id="rId656" xr:uid="{00000000-0004-0000-0000-00008F020000}"/>
    <hyperlink ref="G1004" r:id="rId657" xr:uid="{00000000-0004-0000-0000-000090020000}"/>
    <hyperlink ref="G1005" r:id="rId658" xr:uid="{00000000-0004-0000-0000-000091020000}"/>
    <hyperlink ref="G1006" r:id="rId659" xr:uid="{00000000-0004-0000-0000-000092020000}"/>
    <hyperlink ref="G1007" r:id="rId660" xr:uid="{00000000-0004-0000-0000-000093020000}"/>
    <hyperlink ref="G1008" r:id="rId661" xr:uid="{00000000-0004-0000-0000-000094020000}"/>
    <hyperlink ref="G1020" r:id="rId662" xr:uid="{00000000-0004-0000-0000-000095020000}"/>
    <hyperlink ref="G1024" r:id="rId663" xr:uid="{00000000-0004-0000-0000-000096020000}"/>
    <hyperlink ref="G1025" r:id="rId664" xr:uid="{00000000-0004-0000-0000-000097020000}"/>
    <hyperlink ref="G1026" r:id="rId665" xr:uid="{00000000-0004-0000-0000-000098020000}"/>
    <hyperlink ref="G1027" r:id="rId666" xr:uid="{00000000-0004-0000-0000-000099020000}"/>
    <hyperlink ref="G1028" r:id="rId667" xr:uid="{00000000-0004-0000-0000-00009A020000}"/>
    <hyperlink ref="G1029" r:id="rId668" xr:uid="{00000000-0004-0000-0000-00009B020000}"/>
    <hyperlink ref="G1030" r:id="rId669" xr:uid="{00000000-0004-0000-0000-00009C020000}"/>
    <hyperlink ref="G1031" r:id="rId670" xr:uid="{00000000-0004-0000-0000-00009D020000}"/>
    <hyperlink ref="G1032" r:id="rId671" xr:uid="{00000000-0004-0000-0000-00009E020000}"/>
    <hyperlink ref="G1033" r:id="rId672" xr:uid="{00000000-0004-0000-0000-00009F020000}"/>
    <hyperlink ref="G1034" r:id="rId673" xr:uid="{00000000-0004-0000-0000-0000A0020000}"/>
    <hyperlink ref="G1035" r:id="rId674" xr:uid="{00000000-0004-0000-0000-0000A1020000}"/>
    <hyperlink ref="G1036" r:id="rId675" xr:uid="{00000000-0004-0000-0000-0000A2020000}"/>
    <hyperlink ref="G1037" r:id="rId676" xr:uid="{00000000-0004-0000-0000-0000A3020000}"/>
    <hyperlink ref="G1038" r:id="rId677" xr:uid="{00000000-0004-0000-0000-0000A4020000}"/>
    <hyperlink ref="G1039" r:id="rId678" xr:uid="{00000000-0004-0000-0000-0000A5020000}"/>
    <hyperlink ref="G1040" r:id="rId679" xr:uid="{00000000-0004-0000-0000-0000A6020000}"/>
    <hyperlink ref="G1041" r:id="rId680" xr:uid="{00000000-0004-0000-0000-0000A7020000}"/>
    <hyperlink ref="G1042" r:id="rId681" xr:uid="{00000000-0004-0000-0000-0000A8020000}"/>
    <hyperlink ref="G1059" r:id="rId682" xr:uid="{00000000-0004-0000-0000-0000A9020000}"/>
    <hyperlink ref="G1144" r:id="rId683" xr:uid="{00000000-0004-0000-0000-0000AD02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tabSelected="1" topLeftCell="C51" workbookViewId="0">
      <selection activeCell="G59" sqref="G59"/>
    </sheetView>
  </sheetViews>
  <sheetFormatPr baseColWidth="10" defaultColWidth="11.1640625" defaultRowHeight="15" customHeight="1"/>
  <cols>
    <col min="1" max="2" width="11" customWidth="1"/>
    <col min="3" max="3" width="27.6640625" customWidth="1"/>
    <col min="4" max="4" width="11" customWidth="1"/>
    <col min="5" max="5" width="18.83203125" customWidth="1"/>
    <col min="6" max="6" width="17.83203125" customWidth="1"/>
    <col min="7" max="7" width="18.1640625" customWidth="1"/>
    <col min="8" max="8" width="21.83203125" customWidth="1"/>
    <col min="9" max="9" width="10.6640625" customWidth="1"/>
    <col min="10" max="10" width="20.33203125" customWidth="1"/>
    <col min="11" max="26" width="11" customWidth="1"/>
  </cols>
  <sheetData>
    <row r="1" spans="1:10" ht="15.75" customHeight="1">
      <c r="A1" s="2" t="s">
        <v>1</v>
      </c>
      <c r="B1" s="2" t="s">
        <v>2</v>
      </c>
      <c r="C1" s="2" t="s">
        <v>3829</v>
      </c>
      <c r="D1" s="2" t="s">
        <v>5</v>
      </c>
      <c r="E1" s="2" t="s">
        <v>6</v>
      </c>
      <c r="F1" s="2" t="s">
        <v>3830</v>
      </c>
      <c r="G1" s="17" t="s">
        <v>3831</v>
      </c>
      <c r="H1" s="2" t="s">
        <v>3886</v>
      </c>
      <c r="I1" s="2" t="s">
        <v>3887</v>
      </c>
      <c r="J1" s="2" t="s">
        <v>3888</v>
      </c>
    </row>
    <row r="2" spans="1:10" ht="15.75" customHeight="1">
      <c r="A2" s="2" t="s">
        <v>22</v>
      </c>
      <c r="B2" s="2" t="s">
        <v>12</v>
      </c>
      <c r="C2" s="2" t="s">
        <v>23</v>
      </c>
      <c r="D2" s="2" t="s">
        <v>24</v>
      </c>
      <c r="E2" s="2" t="s">
        <v>25</v>
      </c>
      <c r="G2" s="2">
        <v>46</v>
      </c>
      <c r="H2">
        <v>48</v>
      </c>
      <c r="I2" s="2">
        <f t="shared" ref="I2:I78" si="0">ABS(H2-G2)</f>
        <v>2</v>
      </c>
      <c r="J2" s="18">
        <f t="shared" ref="J2:J78" si="1">(I2/H2)*100</f>
        <v>4.1666666666666661</v>
      </c>
    </row>
    <row r="3" spans="1:10" ht="15.75" customHeight="1">
      <c r="A3" s="2" t="s">
        <v>42</v>
      </c>
      <c r="B3" s="2" t="s">
        <v>43</v>
      </c>
      <c r="C3" s="2" t="s">
        <v>45</v>
      </c>
      <c r="D3" s="2" t="s">
        <v>46</v>
      </c>
      <c r="E3" s="2" t="s">
        <v>47</v>
      </c>
      <c r="G3" s="2">
        <v>13</v>
      </c>
      <c r="H3">
        <v>13</v>
      </c>
      <c r="I3" s="2">
        <f t="shared" si="0"/>
        <v>0</v>
      </c>
      <c r="J3" s="18">
        <f t="shared" si="1"/>
        <v>0</v>
      </c>
    </row>
    <row r="4" spans="1:10" ht="15.75" customHeight="1">
      <c r="A4" s="2" t="s">
        <v>87</v>
      </c>
      <c r="B4" s="2" t="s">
        <v>58</v>
      </c>
      <c r="C4" s="2" t="s">
        <v>88</v>
      </c>
      <c r="D4" s="2" t="s">
        <v>89</v>
      </c>
      <c r="E4" s="2" t="s">
        <v>90</v>
      </c>
      <c r="G4" s="2">
        <v>27</v>
      </c>
      <c r="H4">
        <v>27</v>
      </c>
      <c r="I4" s="2">
        <f t="shared" si="0"/>
        <v>0</v>
      </c>
      <c r="J4" s="18">
        <f t="shared" si="1"/>
        <v>0</v>
      </c>
    </row>
    <row r="5" spans="1:10" ht="15.75" customHeight="1">
      <c r="A5" s="2" t="s">
        <v>93</v>
      </c>
      <c r="B5" s="2" t="s">
        <v>94</v>
      </c>
      <c r="C5" s="2" t="s">
        <v>96</v>
      </c>
      <c r="D5" s="2" t="s">
        <v>97</v>
      </c>
      <c r="E5" s="2" t="s">
        <v>98</v>
      </c>
      <c r="G5" s="2">
        <v>4</v>
      </c>
      <c r="H5">
        <v>4</v>
      </c>
      <c r="I5" s="2">
        <f t="shared" si="0"/>
        <v>0</v>
      </c>
      <c r="J5" s="18">
        <f t="shared" si="1"/>
        <v>0</v>
      </c>
    </row>
    <row r="6" spans="1:10" ht="15.75" customHeight="1">
      <c r="A6" s="2" t="s">
        <v>124</v>
      </c>
      <c r="B6" s="2" t="s">
        <v>111</v>
      </c>
      <c r="C6" s="2" t="s">
        <v>125</v>
      </c>
      <c r="D6" s="2" t="s">
        <v>126</v>
      </c>
      <c r="E6" s="2" t="s">
        <v>127</v>
      </c>
      <c r="G6" s="2">
        <v>17</v>
      </c>
      <c r="H6">
        <v>17</v>
      </c>
      <c r="I6" s="2">
        <f t="shared" si="0"/>
        <v>0</v>
      </c>
      <c r="J6" s="18">
        <f t="shared" si="1"/>
        <v>0</v>
      </c>
    </row>
    <row r="7" spans="1:10" ht="15.75" customHeight="1">
      <c r="A7" s="2" t="s">
        <v>3832</v>
      </c>
      <c r="B7" s="2" t="s">
        <v>149</v>
      </c>
      <c r="C7" s="2" t="s">
        <v>3833</v>
      </c>
      <c r="D7" s="2" t="s">
        <v>330</v>
      </c>
      <c r="E7" s="2" t="s">
        <v>3834</v>
      </c>
      <c r="G7" s="2">
        <v>14</v>
      </c>
      <c r="H7">
        <v>14</v>
      </c>
      <c r="I7" s="2">
        <f t="shared" si="0"/>
        <v>0</v>
      </c>
      <c r="J7" s="18">
        <f t="shared" si="1"/>
        <v>0</v>
      </c>
    </row>
    <row r="8" spans="1:10" ht="15.75" customHeight="1">
      <c r="A8" s="2" t="s">
        <v>220</v>
      </c>
      <c r="B8" s="2" t="s">
        <v>177</v>
      </c>
      <c r="C8" s="2" t="s">
        <v>221</v>
      </c>
      <c r="D8" s="2" t="s">
        <v>126</v>
      </c>
      <c r="F8" s="2" t="s">
        <v>222</v>
      </c>
      <c r="G8" s="2">
        <v>29</v>
      </c>
      <c r="H8">
        <v>29</v>
      </c>
      <c r="I8" s="2">
        <f t="shared" si="0"/>
        <v>0</v>
      </c>
      <c r="J8" s="18">
        <f t="shared" si="1"/>
        <v>0</v>
      </c>
    </row>
    <row r="9" spans="1:10" ht="15.75" customHeight="1">
      <c r="A9" s="2" t="s">
        <v>248</v>
      </c>
      <c r="B9" s="2" t="s">
        <v>249</v>
      </c>
      <c r="C9" s="2" t="s">
        <v>251</v>
      </c>
      <c r="D9" s="2" t="s">
        <v>252</v>
      </c>
      <c r="E9" s="2" t="s">
        <v>253</v>
      </c>
      <c r="G9" s="2">
        <v>10</v>
      </c>
      <c r="H9">
        <v>10</v>
      </c>
      <c r="I9" s="2">
        <f t="shared" si="0"/>
        <v>0</v>
      </c>
      <c r="J9" s="18">
        <f t="shared" si="1"/>
        <v>0</v>
      </c>
    </row>
    <row r="10" spans="1:10" ht="15.75" customHeight="1">
      <c r="A10" s="2" t="s">
        <v>298</v>
      </c>
      <c r="B10" s="2" t="s">
        <v>299</v>
      </c>
      <c r="C10" s="2" t="s">
        <v>301</v>
      </c>
      <c r="D10" s="2" t="s">
        <v>15</v>
      </c>
      <c r="E10" s="2" t="s">
        <v>302</v>
      </c>
      <c r="G10" s="2">
        <v>48</v>
      </c>
      <c r="H10">
        <v>48</v>
      </c>
      <c r="I10" s="2">
        <f t="shared" si="0"/>
        <v>0</v>
      </c>
      <c r="J10" s="18">
        <f t="shared" si="1"/>
        <v>0</v>
      </c>
    </row>
    <row r="11" spans="1:10" ht="15.75" customHeight="1">
      <c r="A11" s="2" t="s">
        <v>358</v>
      </c>
      <c r="B11" s="2" t="s">
        <v>341</v>
      </c>
      <c r="C11" s="2" t="s">
        <v>359</v>
      </c>
      <c r="D11" s="2" t="s">
        <v>15</v>
      </c>
      <c r="E11" s="2" t="s">
        <v>360</v>
      </c>
      <c r="G11" s="2">
        <v>23</v>
      </c>
      <c r="H11">
        <v>23</v>
      </c>
      <c r="I11" s="2">
        <f t="shared" si="0"/>
        <v>0</v>
      </c>
      <c r="J11" s="18">
        <f t="shared" si="1"/>
        <v>0</v>
      </c>
    </row>
    <row r="12" spans="1:10" ht="15.75" customHeight="1">
      <c r="A12" s="2" t="s">
        <v>441</v>
      </c>
      <c r="B12" s="2" t="s">
        <v>442</v>
      </c>
      <c r="C12" s="2" t="s">
        <v>444</v>
      </c>
      <c r="D12" s="2" t="s">
        <v>15</v>
      </c>
      <c r="E12" s="2" t="s">
        <v>445</v>
      </c>
      <c r="G12" s="2">
        <v>26</v>
      </c>
      <c r="H12">
        <v>26</v>
      </c>
      <c r="I12" s="2">
        <f t="shared" si="0"/>
        <v>0</v>
      </c>
      <c r="J12" s="18">
        <f t="shared" si="1"/>
        <v>0</v>
      </c>
    </row>
    <row r="13" spans="1:10" ht="15.75" customHeight="1">
      <c r="A13" s="2" t="s">
        <v>3835</v>
      </c>
      <c r="B13" s="2" t="s">
        <v>453</v>
      </c>
      <c r="C13" s="2" t="s">
        <v>3836</v>
      </c>
      <c r="D13" s="2" t="s">
        <v>24</v>
      </c>
      <c r="E13" s="2" t="s">
        <v>3837</v>
      </c>
      <c r="G13" s="2">
        <v>6</v>
      </c>
      <c r="H13">
        <v>6</v>
      </c>
      <c r="I13" s="2">
        <f t="shared" si="0"/>
        <v>0</v>
      </c>
      <c r="J13" s="18">
        <f t="shared" si="1"/>
        <v>0</v>
      </c>
    </row>
    <row r="14" spans="1:10" ht="15.75" customHeight="1">
      <c r="A14" s="2" t="s">
        <v>492</v>
      </c>
      <c r="B14" s="2" t="s">
        <v>467</v>
      </c>
      <c r="C14" s="2" t="s">
        <v>493</v>
      </c>
      <c r="D14" s="2" t="s">
        <v>61</v>
      </c>
      <c r="E14" s="2" t="s">
        <v>494</v>
      </c>
      <c r="G14" s="2">
        <v>86</v>
      </c>
      <c r="H14">
        <v>86</v>
      </c>
      <c r="I14" s="2">
        <f t="shared" si="0"/>
        <v>0</v>
      </c>
      <c r="J14" s="18">
        <f t="shared" si="1"/>
        <v>0</v>
      </c>
    </row>
    <row r="15" spans="1:10" ht="15.75" customHeight="1">
      <c r="A15" s="2" t="s">
        <v>596</v>
      </c>
      <c r="B15" s="2" t="s">
        <v>558</v>
      </c>
      <c r="C15" s="2" t="s">
        <v>597</v>
      </c>
      <c r="D15" s="2" t="s">
        <v>46</v>
      </c>
      <c r="E15" s="2" t="s">
        <v>598</v>
      </c>
      <c r="G15" s="2">
        <v>32</v>
      </c>
      <c r="H15">
        <v>37</v>
      </c>
      <c r="I15" s="2">
        <f t="shared" si="0"/>
        <v>5</v>
      </c>
      <c r="J15" s="18">
        <f t="shared" si="1"/>
        <v>13.513513513513514</v>
      </c>
    </row>
    <row r="16" spans="1:10" ht="15.75" customHeight="1">
      <c r="A16" s="2" t="s">
        <v>651</v>
      </c>
      <c r="B16" s="2" t="s">
        <v>652</v>
      </c>
      <c r="C16" s="2" t="s">
        <v>653</v>
      </c>
      <c r="D16" s="2" t="s">
        <v>89</v>
      </c>
      <c r="E16" s="2" t="s">
        <v>654</v>
      </c>
      <c r="G16" s="2">
        <v>19</v>
      </c>
      <c r="H16">
        <v>19</v>
      </c>
      <c r="I16" s="2">
        <f t="shared" si="0"/>
        <v>0</v>
      </c>
      <c r="J16" s="18">
        <f t="shared" si="1"/>
        <v>0</v>
      </c>
    </row>
    <row r="17" spans="1:10" ht="15.75" customHeight="1">
      <c r="A17" s="2" t="s">
        <v>3838</v>
      </c>
      <c r="B17" s="2" t="s">
        <v>667</v>
      </c>
      <c r="C17" s="2" t="s">
        <v>3839</v>
      </c>
      <c r="D17" s="2" t="s">
        <v>126</v>
      </c>
      <c r="E17" s="2" t="s">
        <v>3840</v>
      </c>
      <c r="G17" s="2">
        <v>9</v>
      </c>
      <c r="H17">
        <v>9</v>
      </c>
      <c r="I17" s="2">
        <f t="shared" si="0"/>
        <v>0</v>
      </c>
      <c r="J17" s="18">
        <f t="shared" si="1"/>
        <v>0</v>
      </c>
    </row>
    <row r="18" spans="1:10" ht="15.75" customHeight="1">
      <c r="A18" s="2" t="s">
        <v>681</v>
      </c>
      <c r="B18" s="2" t="s">
        <v>682</v>
      </c>
      <c r="C18" s="2" t="s">
        <v>684</v>
      </c>
      <c r="D18" s="2" t="s">
        <v>24</v>
      </c>
      <c r="E18" s="2" t="s">
        <v>685</v>
      </c>
      <c r="G18" s="2">
        <v>97</v>
      </c>
      <c r="H18">
        <v>97</v>
      </c>
      <c r="I18" s="2">
        <f t="shared" si="0"/>
        <v>0</v>
      </c>
      <c r="J18" s="18">
        <f t="shared" si="1"/>
        <v>0</v>
      </c>
    </row>
    <row r="19" spans="1:10" ht="15.75" customHeight="1">
      <c r="A19" s="2" t="s">
        <v>749</v>
      </c>
      <c r="B19" s="2" t="s">
        <v>697</v>
      </c>
      <c r="C19" s="2" t="s">
        <v>750</v>
      </c>
      <c r="D19" s="2" t="s">
        <v>157</v>
      </c>
      <c r="E19" s="2" t="s">
        <v>751</v>
      </c>
      <c r="G19" s="2">
        <v>103</v>
      </c>
      <c r="H19">
        <v>103</v>
      </c>
      <c r="I19" s="2">
        <f t="shared" si="0"/>
        <v>0</v>
      </c>
      <c r="J19" s="18">
        <f t="shared" si="1"/>
        <v>0</v>
      </c>
    </row>
    <row r="20" spans="1:10" ht="15.75" customHeight="1">
      <c r="A20" s="2" t="s">
        <v>1067</v>
      </c>
      <c r="B20" s="2" t="s">
        <v>1068</v>
      </c>
      <c r="C20" s="2" t="s">
        <v>1070</v>
      </c>
      <c r="D20" s="2" t="s">
        <v>24</v>
      </c>
      <c r="E20" s="2" t="s">
        <v>1071</v>
      </c>
      <c r="G20" s="2">
        <v>16</v>
      </c>
      <c r="H20">
        <v>16</v>
      </c>
      <c r="I20" s="2">
        <f t="shared" si="0"/>
        <v>0</v>
      </c>
      <c r="J20" s="18">
        <f t="shared" si="1"/>
        <v>0</v>
      </c>
    </row>
    <row r="21" spans="1:10" ht="15.75" customHeight="1">
      <c r="A21" s="2" t="s">
        <v>3841</v>
      </c>
      <c r="B21" s="2" t="s">
        <v>1079</v>
      </c>
      <c r="C21" s="2" t="s">
        <v>3842</v>
      </c>
      <c r="D21" s="2" t="s">
        <v>24</v>
      </c>
      <c r="E21" s="2" t="s">
        <v>3843</v>
      </c>
      <c r="G21" s="2">
        <v>5</v>
      </c>
      <c r="H21">
        <v>5</v>
      </c>
      <c r="I21" s="2">
        <f t="shared" si="0"/>
        <v>0</v>
      </c>
      <c r="J21" s="18">
        <f t="shared" si="1"/>
        <v>0</v>
      </c>
    </row>
    <row r="22" spans="1:10" ht="15.75" customHeight="1">
      <c r="A22" s="2" t="s">
        <v>1202</v>
      </c>
      <c r="B22" s="2" t="s">
        <v>1203</v>
      </c>
      <c r="C22" s="2" t="s">
        <v>1205</v>
      </c>
      <c r="D22" s="2" t="s">
        <v>140</v>
      </c>
      <c r="E22" s="2" t="s">
        <v>1206</v>
      </c>
      <c r="G22" s="2">
        <v>9</v>
      </c>
      <c r="H22">
        <v>9</v>
      </c>
      <c r="I22" s="2">
        <f t="shared" si="0"/>
        <v>0</v>
      </c>
      <c r="J22" s="18">
        <f t="shared" si="1"/>
        <v>0</v>
      </c>
    </row>
    <row r="23" spans="1:10" ht="15.75" customHeight="1">
      <c r="A23" s="2" t="s">
        <v>1213</v>
      </c>
      <c r="B23" s="2" t="s">
        <v>1214</v>
      </c>
      <c r="C23" s="2" t="s">
        <v>1216</v>
      </c>
      <c r="D23" s="2" t="s">
        <v>120</v>
      </c>
      <c r="E23" s="2" t="s">
        <v>1217</v>
      </c>
      <c r="G23" s="2">
        <v>18</v>
      </c>
      <c r="H23">
        <v>18</v>
      </c>
      <c r="I23" s="2">
        <f t="shared" si="0"/>
        <v>0</v>
      </c>
      <c r="J23" s="18">
        <f t="shared" si="1"/>
        <v>0</v>
      </c>
    </row>
    <row r="24" spans="1:10" ht="15.75" customHeight="1">
      <c r="A24" s="2" t="s">
        <v>1241</v>
      </c>
      <c r="B24" s="2" t="s">
        <v>1225</v>
      </c>
      <c r="C24" s="2" t="s">
        <v>1242</v>
      </c>
      <c r="D24" s="2" t="s">
        <v>61</v>
      </c>
      <c r="E24" s="2" t="s">
        <v>1243</v>
      </c>
      <c r="G24" s="2">
        <v>24</v>
      </c>
      <c r="H24">
        <v>24</v>
      </c>
      <c r="I24" s="2">
        <f t="shared" si="0"/>
        <v>0</v>
      </c>
      <c r="J24" s="18">
        <f t="shared" si="1"/>
        <v>0</v>
      </c>
    </row>
    <row r="25" spans="1:10" ht="15.75" customHeight="1">
      <c r="A25" s="2" t="s">
        <v>1291</v>
      </c>
      <c r="B25" s="2" t="s">
        <v>1292</v>
      </c>
      <c r="C25" s="2" t="s">
        <v>1294</v>
      </c>
      <c r="D25" s="2" t="s">
        <v>120</v>
      </c>
      <c r="E25" s="2" t="s">
        <v>1295</v>
      </c>
      <c r="G25" s="2">
        <v>143</v>
      </c>
      <c r="H25">
        <v>144</v>
      </c>
      <c r="I25" s="2">
        <f t="shared" si="0"/>
        <v>1</v>
      </c>
      <c r="J25" s="18">
        <f t="shared" si="1"/>
        <v>0.69444444444444442</v>
      </c>
    </row>
    <row r="26" spans="1:10" ht="15.75" customHeight="1">
      <c r="A26" s="2" t="s">
        <v>1311</v>
      </c>
      <c r="B26" s="2" t="s">
        <v>1312</v>
      </c>
      <c r="C26" s="2" t="s">
        <v>1313</v>
      </c>
      <c r="D26" s="2" t="s">
        <v>89</v>
      </c>
      <c r="E26" s="2" t="s">
        <v>1314</v>
      </c>
      <c r="G26" s="2">
        <v>27</v>
      </c>
      <c r="H26">
        <v>28</v>
      </c>
      <c r="I26" s="2">
        <f t="shared" si="0"/>
        <v>1</v>
      </c>
      <c r="J26" s="18">
        <f t="shared" si="1"/>
        <v>3.5714285714285712</v>
      </c>
    </row>
    <row r="27" spans="1:10" ht="15.75" customHeight="1">
      <c r="A27" s="2" t="s">
        <v>1328</v>
      </c>
      <c r="B27" s="2" t="s">
        <v>1322</v>
      </c>
      <c r="C27" s="2" t="s">
        <v>1329</v>
      </c>
      <c r="D27" s="2" t="s">
        <v>46</v>
      </c>
      <c r="E27" s="2" t="s">
        <v>1330</v>
      </c>
      <c r="G27" s="2">
        <v>172</v>
      </c>
      <c r="H27">
        <v>172</v>
      </c>
      <c r="I27" s="2">
        <f t="shared" si="0"/>
        <v>0</v>
      </c>
      <c r="J27" s="18">
        <f t="shared" si="1"/>
        <v>0</v>
      </c>
    </row>
    <row r="28" spans="1:10" ht="15.75" customHeight="1">
      <c r="A28" s="2" t="s">
        <v>1398</v>
      </c>
      <c r="B28" s="2" t="s">
        <v>1362</v>
      </c>
      <c r="C28" s="2" t="s">
        <v>1399</v>
      </c>
      <c r="D28" s="2" t="s">
        <v>61</v>
      </c>
      <c r="E28" s="2" t="s">
        <v>1400</v>
      </c>
      <c r="G28" s="2">
        <v>9</v>
      </c>
      <c r="H28">
        <v>9</v>
      </c>
      <c r="I28" s="2">
        <f t="shared" si="0"/>
        <v>0</v>
      </c>
      <c r="J28" s="18">
        <f t="shared" si="1"/>
        <v>0</v>
      </c>
    </row>
    <row r="29" spans="1:10" ht="15.75" customHeight="1">
      <c r="A29" s="2" t="s">
        <v>3844</v>
      </c>
      <c r="B29" s="2" t="s">
        <v>1406</v>
      </c>
      <c r="C29" s="2" t="s">
        <v>3845</v>
      </c>
      <c r="D29" s="2" t="s">
        <v>126</v>
      </c>
      <c r="E29" s="2" t="s">
        <v>3846</v>
      </c>
      <c r="G29" s="2">
        <v>23</v>
      </c>
      <c r="H29">
        <v>23</v>
      </c>
      <c r="I29" s="2">
        <f t="shared" si="0"/>
        <v>0</v>
      </c>
      <c r="J29" s="18">
        <f t="shared" si="1"/>
        <v>0</v>
      </c>
    </row>
    <row r="30" spans="1:10" ht="15.75" customHeight="1">
      <c r="A30" s="2" t="s">
        <v>1487</v>
      </c>
      <c r="B30" s="2" t="s">
        <v>1488</v>
      </c>
      <c r="C30" s="2" t="s">
        <v>1489</v>
      </c>
      <c r="D30" s="2" t="s">
        <v>264</v>
      </c>
      <c r="E30" s="2" t="s">
        <v>1490</v>
      </c>
      <c r="G30" s="2">
        <v>42</v>
      </c>
      <c r="H30">
        <v>42</v>
      </c>
      <c r="I30" s="2">
        <f t="shared" si="0"/>
        <v>0</v>
      </c>
      <c r="J30" s="18">
        <f t="shared" si="1"/>
        <v>0</v>
      </c>
    </row>
    <row r="31" spans="1:10" ht="15.75" customHeight="1">
      <c r="A31" s="2" t="s">
        <v>1522</v>
      </c>
      <c r="B31" s="2" t="s">
        <v>1507</v>
      </c>
      <c r="C31" s="2" t="s">
        <v>1523</v>
      </c>
      <c r="D31" s="2" t="s">
        <v>120</v>
      </c>
      <c r="E31" s="2" t="s">
        <v>1524</v>
      </c>
      <c r="G31" s="2">
        <v>61</v>
      </c>
      <c r="H31">
        <v>61</v>
      </c>
      <c r="I31" s="2">
        <f t="shared" si="0"/>
        <v>0</v>
      </c>
      <c r="J31" s="18">
        <f t="shared" si="1"/>
        <v>0</v>
      </c>
    </row>
    <row r="32" spans="1:10" ht="15.75" customHeight="1">
      <c r="A32" s="2" t="s">
        <v>1598</v>
      </c>
      <c r="B32" s="2" t="s">
        <v>1542</v>
      </c>
      <c r="C32" s="2" t="s">
        <v>1599</v>
      </c>
      <c r="D32" s="2" t="s">
        <v>61</v>
      </c>
      <c r="E32" s="2" t="s">
        <v>1600</v>
      </c>
      <c r="G32" s="2">
        <v>28</v>
      </c>
      <c r="H32">
        <v>28</v>
      </c>
      <c r="I32" s="2">
        <f t="shared" si="0"/>
        <v>0</v>
      </c>
      <c r="J32" s="18">
        <f t="shared" si="1"/>
        <v>0</v>
      </c>
    </row>
    <row r="33" spans="1:10" ht="15.75" customHeight="1">
      <c r="A33" s="2" t="s">
        <v>3847</v>
      </c>
      <c r="B33" s="2" t="s">
        <v>1633</v>
      </c>
      <c r="C33" s="2" t="s">
        <v>3848</v>
      </c>
      <c r="D33" s="2" t="s">
        <v>126</v>
      </c>
      <c r="E33" s="2" t="s">
        <v>3849</v>
      </c>
      <c r="G33" s="2">
        <v>33</v>
      </c>
      <c r="H33">
        <v>36</v>
      </c>
      <c r="I33" s="2">
        <f t="shared" si="0"/>
        <v>3</v>
      </c>
      <c r="J33" s="18">
        <f t="shared" si="1"/>
        <v>8.3333333333333321</v>
      </c>
    </row>
    <row r="34" spans="1:10" ht="15.75" customHeight="1">
      <c r="A34" s="2" t="s">
        <v>1662</v>
      </c>
      <c r="B34" s="2" t="s">
        <v>1646</v>
      </c>
      <c r="C34" s="2" t="s">
        <v>1663</v>
      </c>
      <c r="D34" s="2" t="s">
        <v>126</v>
      </c>
      <c r="E34" s="2" t="s">
        <v>1664</v>
      </c>
      <c r="G34" s="2">
        <v>52</v>
      </c>
      <c r="H34">
        <v>55</v>
      </c>
      <c r="I34" s="2">
        <f t="shared" si="0"/>
        <v>3</v>
      </c>
      <c r="J34" s="18">
        <f t="shared" si="1"/>
        <v>5.4545454545454541</v>
      </c>
    </row>
    <row r="35" spans="1:10" ht="15.75" customHeight="1">
      <c r="A35" s="2" t="s">
        <v>1722</v>
      </c>
      <c r="B35" s="2" t="s">
        <v>1689</v>
      </c>
      <c r="C35" s="2" t="s">
        <v>1723</v>
      </c>
      <c r="D35" s="2" t="s">
        <v>140</v>
      </c>
      <c r="E35" s="2" t="s">
        <v>1724</v>
      </c>
      <c r="G35" s="2">
        <v>35</v>
      </c>
      <c r="H35">
        <v>35</v>
      </c>
      <c r="I35" s="2">
        <f t="shared" si="0"/>
        <v>0</v>
      </c>
      <c r="J35" s="18">
        <f t="shared" si="1"/>
        <v>0</v>
      </c>
    </row>
    <row r="36" spans="1:10" ht="15.75" customHeight="1">
      <c r="A36" s="2" t="s">
        <v>1760</v>
      </c>
      <c r="B36" s="2" t="s">
        <v>1754</v>
      </c>
      <c r="C36" s="2" t="s">
        <v>1761</v>
      </c>
      <c r="D36" s="2" t="s">
        <v>46</v>
      </c>
      <c r="E36" s="2" t="s">
        <v>1762</v>
      </c>
      <c r="G36" s="2">
        <v>215</v>
      </c>
      <c r="H36">
        <v>215</v>
      </c>
      <c r="I36" s="2">
        <f t="shared" si="0"/>
        <v>0</v>
      </c>
      <c r="J36" s="18">
        <f t="shared" si="1"/>
        <v>0</v>
      </c>
    </row>
    <row r="37" spans="1:10" ht="15.75" customHeight="1">
      <c r="A37" s="2" t="s">
        <v>1811</v>
      </c>
      <c r="B37" s="2" t="s">
        <v>1812</v>
      </c>
      <c r="C37" s="2" t="s">
        <v>1813</v>
      </c>
      <c r="D37" s="2" t="s">
        <v>157</v>
      </c>
      <c r="E37" s="2" t="s">
        <v>1814</v>
      </c>
      <c r="G37" s="2">
        <v>60</v>
      </c>
      <c r="H37">
        <v>60</v>
      </c>
      <c r="I37" s="2">
        <f t="shared" si="0"/>
        <v>0</v>
      </c>
      <c r="J37" s="18">
        <f t="shared" si="1"/>
        <v>0</v>
      </c>
    </row>
    <row r="38" spans="1:10" ht="15.75" customHeight="1">
      <c r="A38" s="2" t="s">
        <v>1840</v>
      </c>
      <c r="B38" s="2" t="s">
        <v>1835</v>
      </c>
      <c r="C38" s="2" t="s">
        <v>1841</v>
      </c>
      <c r="D38" s="2" t="s">
        <v>126</v>
      </c>
      <c r="E38" s="2" t="s">
        <v>1842</v>
      </c>
      <c r="G38" s="2">
        <v>13</v>
      </c>
      <c r="H38">
        <v>15</v>
      </c>
      <c r="I38" s="2">
        <f t="shared" si="0"/>
        <v>2</v>
      </c>
      <c r="J38" s="18">
        <f t="shared" si="1"/>
        <v>13.333333333333334</v>
      </c>
    </row>
    <row r="39" spans="1:10" ht="15.75" customHeight="1">
      <c r="A39" s="2" t="s">
        <v>3850</v>
      </c>
      <c r="B39" s="2" t="s">
        <v>1850</v>
      </c>
      <c r="C39" s="2" t="s">
        <v>3851</v>
      </c>
      <c r="D39" s="2" t="s">
        <v>46</v>
      </c>
      <c r="E39" s="2" t="s">
        <v>3852</v>
      </c>
      <c r="G39" s="2">
        <v>47</v>
      </c>
      <c r="H39">
        <v>47</v>
      </c>
      <c r="I39" s="2">
        <f t="shared" si="0"/>
        <v>0</v>
      </c>
      <c r="J39" s="18">
        <f t="shared" si="1"/>
        <v>0</v>
      </c>
    </row>
    <row r="40" spans="1:10" ht="15.75" customHeight="1">
      <c r="A40" s="2" t="s">
        <v>1944</v>
      </c>
      <c r="B40" s="2" t="s">
        <v>1945</v>
      </c>
      <c r="C40" s="2" t="s">
        <v>1946</v>
      </c>
      <c r="D40" s="2" t="s">
        <v>46</v>
      </c>
      <c r="E40" s="2" t="s">
        <v>1947</v>
      </c>
      <c r="G40" s="2">
        <v>87</v>
      </c>
      <c r="H40">
        <v>87</v>
      </c>
      <c r="I40" s="2">
        <f t="shared" si="0"/>
        <v>0</v>
      </c>
      <c r="J40" s="18">
        <f t="shared" si="1"/>
        <v>0</v>
      </c>
    </row>
    <row r="41" spans="1:10" ht="15.75" customHeight="1">
      <c r="A41" s="2" t="s">
        <v>1956</v>
      </c>
      <c r="B41" s="2" t="s">
        <v>1957</v>
      </c>
      <c r="C41" s="2" t="s">
        <v>1958</v>
      </c>
      <c r="D41" s="2" t="s">
        <v>140</v>
      </c>
      <c r="E41" s="2" t="s">
        <v>1959</v>
      </c>
      <c r="G41" s="2">
        <v>22</v>
      </c>
      <c r="H41">
        <v>22</v>
      </c>
      <c r="I41" s="2">
        <f t="shared" si="0"/>
        <v>0</v>
      </c>
      <c r="J41" s="18">
        <f t="shared" si="1"/>
        <v>0</v>
      </c>
    </row>
    <row r="42" spans="1:10" ht="15.75" customHeight="1">
      <c r="A42" s="2" t="s">
        <v>3853</v>
      </c>
      <c r="B42" s="2" t="s">
        <v>1977</v>
      </c>
      <c r="C42" s="2" t="s">
        <v>3854</v>
      </c>
      <c r="D42" s="2" t="s">
        <v>126</v>
      </c>
      <c r="E42" s="2" t="s">
        <v>3855</v>
      </c>
      <c r="G42" s="2">
        <v>8</v>
      </c>
      <c r="H42">
        <v>8</v>
      </c>
      <c r="I42" s="2">
        <f t="shared" si="0"/>
        <v>0</v>
      </c>
      <c r="J42" s="18">
        <f t="shared" si="1"/>
        <v>0</v>
      </c>
    </row>
    <row r="43" spans="1:10" ht="15.75" customHeight="1">
      <c r="A43" s="2" t="s">
        <v>1986</v>
      </c>
      <c r="B43" s="2" t="s">
        <v>1987</v>
      </c>
      <c r="C43" s="2" t="s">
        <v>1989</v>
      </c>
      <c r="D43" s="2" t="s">
        <v>157</v>
      </c>
      <c r="E43" s="2" t="s">
        <v>1990</v>
      </c>
      <c r="G43" s="2">
        <v>19</v>
      </c>
      <c r="H43">
        <v>19</v>
      </c>
      <c r="I43" s="2">
        <f t="shared" si="0"/>
        <v>0</v>
      </c>
      <c r="J43" s="18">
        <f t="shared" si="1"/>
        <v>0</v>
      </c>
    </row>
    <row r="44" spans="1:10" ht="15.75" customHeight="1">
      <c r="A44" s="2" t="s">
        <v>2006</v>
      </c>
      <c r="B44" s="2" t="s">
        <v>2001</v>
      </c>
      <c r="C44" s="2" t="s">
        <v>2007</v>
      </c>
      <c r="D44" s="2" t="s">
        <v>24</v>
      </c>
      <c r="E44" s="2" t="s">
        <v>2008</v>
      </c>
      <c r="G44" s="2">
        <v>35</v>
      </c>
      <c r="H44">
        <v>35</v>
      </c>
      <c r="I44" s="2">
        <f t="shared" si="0"/>
        <v>0</v>
      </c>
      <c r="J44" s="18">
        <f t="shared" si="1"/>
        <v>0</v>
      </c>
    </row>
    <row r="45" spans="1:10" ht="15.75" customHeight="1">
      <c r="A45" s="2" t="s">
        <v>3856</v>
      </c>
      <c r="B45" s="2" t="s">
        <v>2031</v>
      </c>
      <c r="C45" s="2" t="s">
        <v>3857</v>
      </c>
      <c r="D45" s="2" t="s">
        <v>180</v>
      </c>
      <c r="E45" s="2" t="s">
        <v>3858</v>
      </c>
      <c r="G45" s="2">
        <v>22</v>
      </c>
      <c r="H45">
        <v>22</v>
      </c>
      <c r="I45" s="2">
        <f t="shared" si="0"/>
        <v>0</v>
      </c>
      <c r="J45" s="18">
        <f t="shared" si="1"/>
        <v>0</v>
      </c>
    </row>
    <row r="46" spans="1:10" ht="15.75" customHeight="1">
      <c r="A46" s="2" t="s">
        <v>2250</v>
      </c>
      <c r="B46" s="2" t="s">
        <v>2053</v>
      </c>
      <c r="C46" s="2" t="s">
        <v>2251</v>
      </c>
      <c r="D46" s="2" t="s">
        <v>180</v>
      </c>
      <c r="E46" s="2" t="s">
        <v>2252</v>
      </c>
      <c r="G46" s="2">
        <v>113</v>
      </c>
      <c r="H46">
        <v>176</v>
      </c>
      <c r="I46" s="2">
        <f t="shared" si="0"/>
        <v>63</v>
      </c>
      <c r="J46" s="18">
        <f t="shared" si="1"/>
        <v>35.795454545454547</v>
      </c>
    </row>
    <row r="47" spans="1:10" ht="15.75" customHeight="1">
      <c r="A47" s="2" t="s">
        <v>2367</v>
      </c>
      <c r="B47" s="2" t="s">
        <v>2352</v>
      </c>
      <c r="C47" s="2" t="s">
        <v>2368</v>
      </c>
      <c r="D47" s="2" t="s">
        <v>120</v>
      </c>
      <c r="E47" s="2" t="s">
        <v>2369</v>
      </c>
      <c r="G47" s="2">
        <v>30</v>
      </c>
      <c r="H47">
        <v>30</v>
      </c>
      <c r="I47" s="2">
        <f t="shared" si="0"/>
        <v>0</v>
      </c>
      <c r="J47" s="18">
        <f t="shared" si="1"/>
        <v>0</v>
      </c>
    </row>
    <row r="48" spans="1:10" ht="15.75" customHeight="1">
      <c r="A48" s="2" t="s">
        <v>2416</v>
      </c>
      <c r="B48" s="2" t="s">
        <v>2392</v>
      </c>
      <c r="C48" s="2" t="s">
        <v>2417</v>
      </c>
      <c r="D48" s="2" t="s">
        <v>140</v>
      </c>
      <c r="E48" s="2" t="s">
        <v>2418</v>
      </c>
      <c r="G48" s="2">
        <v>62</v>
      </c>
      <c r="H48">
        <v>62</v>
      </c>
      <c r="I48" s="2">
        <f t="shared" si="0"/>
        <v>0</v>
      </c>
      <c r="J48" s="18">
        <f t="shared" si="1"/>
        <v>0</v>
      </c>
    </row>
    <row r="49" spans="1:10" ht="15.75" customHeight="1">
      <c r="A49" s="2" t="s">
        <v>2589</v>
      </c>
      <c r="B49" s="2" t="s">
        <v>2538</v>
      </c>
      <c r="C49" s="2" t="s">
        <v>2590</v>
      </c>
      <c r="D49" s="2" t="s">
        <v>61</v>
      </c>
      <c r="E49" s="2" t="s">
        <v>2591</v>
      </c>
      <c r="G49" s="2">
        <v>22</v>
      </c>
      <c r="H49">
        <v>22</v>
      </c>
      <c r="I49" s="2">
        <f t="shared" si="0"/>
        <v>0</v>
      </c>
      <c r="J49" s="18">
        <f t="shared" si="1"/>
        <v>0</v>
      </c>
    </row>
    <row r="50" spans="1:10" ht="15.75" customHeight="1">
      <c r="A50" s="2" t="s">
        <v>2661</v>
      </c>
      <c r="B50" s="2" t="s">
        <v>2662</v>
      </c>
      <c r="C50" s="2" t="s">
        <v>2663</v>
      </c>
      <c r="D50" s="2" t="s">
        <v>24</v>
      </c>
      <c r="E50" s="2" t="s">
        <v>2664</v>
      </c>
      <c r="G50" s="2">
        <v>189</v>
      </c>
      <c r="H50">
        <v>189</v>
      </c>
      <c r="I50" s="2">
        <f t="shared" si="0"/>
        <v>0</v>
      </c>
      <c r="J50" s="18">
        <f t="shared" si="1"/>
        <v>0</v>
      </c>
    </row>
    <row r="51" spans="1:10" ht="15.75" customHeight="1">
      <c r="A51" s="2" t="s">
        <v>2739</v>
      </c>
      <c r="B51" s="2" t="s">
        <v>2705</v>
      </c>
      <c r="C51" s="2" t="s">
        <v>2740</v>
      </c>
      <c r="D51" s="2" t="s">
        <v>120</v>
      </c>
      <c r="E51" s="2" t="s">
        <v>2741</v>
      </c>
      <c r="G51" s="2">
        <v>48</v>
      </c>
      <c r="H51">
        <v>48</v>
      </c>
      <c r="I51" s="2">
        <f t="shared" si="0"/>
        <v>0</v>
      </c>
      <c r="J51" s="18">
        <f t="shared" si="1"/>
        <v>0</v>
      </c>
    </row>
    <row r="52" spans="1:10" ht="15.75" customHeight="1">
      <c r="A52" s="2" t="s">
        <v>2805</v>
      </c>
      <c r="B52" s="2" t="s">
        <v>2806</v>
      </c>
      <c r="C52" s="2" t="s">
        <v>2808</v>
      </c>
      <c r="D52" s="2" t="s">
        <v>24</v>
      </c>
      <c r="E52" s="2" t="s">
        <v>2809</v>
      </c>
      <c r="G52" s="2">
        <v>35</v>
      </c>
      <c r="H52">
        <v>35</v>
      </c>
      <c r="I52" s="2">
        <f t="shared" si="0"/>
        <v>0</v>
      </c>
      <c r="J52" s="18">
        <f t="shared" si="1"/>
        <v>0</v>
      </c>
    </row>
    <row r="53" spans="1:10" ht="15.75" customHeight="1">
      <c r="A53" s="2" t="s">
        <v>2937</v>
      </c>
      <c r="B53" s="2" t="s">
        <v>2829</v>
      </c>
      <c r="C53" s="2" t="s">
        <v>2938</v>
      </c>
      <c r="D53" s="2" t="s">
        <v>24</v>
      </c>
      <c r="E53" s="2" t="s">
        <v>2939</v>
      </c>
      <c r="G53" s="2">
        <v>19</v>
      </c>
      <c r="H53">
        <v>19</v>
      </c>
      <c r="I53" s="2">
        <f t="shared" si="0"/>
        <v>0</v>
      </c>
      <c r="J53" s="18">
        <f t="shared" si="1"/>
        <v>0</v>
      </c>
    </row>
    <row r="54" spans="1:10" ht="15.75" customHeight="1">
      <c r="A54" s="2" t="s">
        <v>3015</v>
      </c>
      <c r="B54" s="2" t="s">
        <v>3009</v>
      </c>
      <c r="C54" s="2" t="s">
        <v>3016</v>
      </c>
      <c r="D54" s="2" t="s">
        <v>126</v>
      </c>
      <c r="E54" s="2" t="s">
        <v>3017</v>
      </c>
      <c r="G54" s="2">
        <v>13</v>
      </c>
      <c r="H54">
        <v>13</v>
      </c>
      <c r="I54" s="2">
        <f t="shared" si="0"/>
        <v>0</v>
      </c>
      <c r="J54" s="18">
        <f t="shared" si="1"/>
        <v>0</v>
      </c>
    </row>
    <row r="55" spans="1:10" ht="15.75" customHeight="1">
      <c r="A55" s="2" t="s">
        <v>3039</v>
      </c>
      <c r="B55" s="2" t="s">
        <v>3023</v>
      </c>
      <c r="C55" s="2" t="s">
        <v>3040</v>
      </c>
      <c r="D55" s="2" t="s">
        <v>157</v>
      </c>
      <c r="E55" s="2" t="s">
        <v>3041</v>
      </c>
      <c r="G55" s="2">
        <v>43</v>
      </c>
      <c r="H55">
        <v>43</v>
      </c>
      <c r="I55" s="2">
        <f t="shared" si="0"/>
        <v>0</v>
      </c>
      <c r="J55" s="18">
        <f t="shared" si="1"/>
        <v>0</v>
      </c>
    </row>
    <row r="56" spans="1:10" ht="15.75" customHeight="1">
      <c r="A56" s="2" t="s">
        <v>3859</v>
      </c>
      <c r="B56" s="2" t="s">
        <v>3069</v>
      </c>
      <c r="C56" s="2" t="s">
        <v>3860</v>
      </c>
      <c r="D56" s="2" t="s">
        <v>46</v>
      </c>
      <c r="E56" s="2" t="s">
        <v>3861</v>
      </c>
      <c r="G56" s="2">
        <v>35</v>
      </c>
      <c r="H56">
        <v>35</v>
      </c>
      <c r="I56" s="2">
        <f t="shared" si="0"/>
        <v>0</v>
      </c>
      <c r="J56" s="18">
        <f t="shared" si="1"/>
        <v>0</v>
      </c>
    </row>
    <row r="57" spans="1:10" ht="15.75" customHeight="1">
      <c r="A57" s="2" t="s">
        <v>3091</v>
      </c>
      <c r="B57" s="2" t="s">
        <v>3092</v>
      </c>
      <c r="C57" s="2" t="s">
        <v>3093</v>
      </c>
      <c r="D57" s="2" t="s">
        <v>46</v>
      </c>
      <c r="E57" s="2" t="s">
        <v>3094</v>
      </c>
      <c r="G57" s="2">
        <v>29</v>
      </c>
      <c r="H57">
        <v>30</v>
      </c>
      <c r="I57" s="2">
        <f t="shared" si="0"/>
        <v>1</v>
      </c>
      <c r="J57" s="18">
        <f t="shared" si="1"/>
        <v>3.3333333333333335</v>
      </c>
    </row>
    <row r="58" spans="1:10" ht="15.75" customHeight="1">
      <c r="A58" s="2" t="s">
        <v>3115</v>
      </c>
      <c r="B58" s="2" t="s">
        <v>3107</v>
      </c>
      <c r="C58" s="2" t="s">
        <v>3116</v>
      </c>
      <c r="D58" s="2" t="s">
        <v>24</v>
      </c>
      <c r="E58" s="2" t="s">
        <v>3117</v>
      </c>
      <c r="G58" s="2">
        <v>35</v>
      </c>
      <c r="H58">
        <v>36</v>
      </c>
      <c r="I58" s="2">
        <f t="shared" si="0"/>
        <v>1</v>
      </c>
      <c r="J58" s="18">
        <f t="shared" si="1"/>
        <v>2.7777777777777777</v>
      </c>
    </row>
    <row r="59" spans="1:10" ht="15.75" customHeight="1">
      <c r="A59" s="2" t="s">
        <v>3862</v>
      </c>
      <c r="B59" s="2" t="s">
        <v>3127</v>
      </c>
      <c r="C59" s="2" t="s">
        <v>3863</v>
      </c>
      <c r="D59" s="2" t="s">
        <v>24</v>
      </c>
      <c r="E59" s="2" t="s">
        <v>3864</v>
      </c>
      <c r="G59" s="2">
        <v>11</v>
      </c>
      <c r="H59">
        <v>11</v>
      </c>
      <c r="I59" s="2">
        <f t="shared" si="0"/>
        <v>0</v>
      </c>
      <c r="J59" s="18">
        <f t="shared" si="1"/>
        <v>0</v>
      </c>
    </row>
    <row r="60" spans="1:10" ht="15.75" customHeight="1">
      <c r="A60" s="2" t="s">
        <v>3168</v>
      </c>
      <c r="B60" s="2" t="s">
        <v>3163</v>
      </c>
      <c r="C60" s="2" t="s">
        <v>3169</v>
      </c>
      <c r="D60" s="2" t="s">
        <v>264</v>
      </c>
      <c r="E60" s="2" t="s">
        <v>3170</v>
      </c>
      <c r="G60" s="2">
        <v>15</v>
      </c>
      <c r="H60">
        <v>15</v>
      </c>
      <c r="I60" s="2">
        <f t="shared" si="0"/>
        <v>0</v>
      </c>
      <c r="J60" s="18">
        <f t="shared" si="1"/>
        <v>0</v>
      </c>
    </row>
    <row r="61" spans="1:10" ht="15.75" customHeight="1">
      <c r="A61" s="2" t="s">
        <v>3865</v>
      </c>
      <c r="B61" s="2" t="s">
        <v>3242</v>
      </c>
      <c r="C61" s="2" t="s">
        <v>3866</v>
      </c>
      <c r="D61" s="2" t="s">
        <v>15</v>
      </c>
      <c r="E61" s="2" t="s">
        <v>3867</v>
      </c>
      <c r="G61" s="2">
        <v>6</v>
      </c>
      <c r="H61">
        <v>6</v>
      </c>
      <c r="I61" s="2">
        <f t="shared" si="0"/>
        <v>0</v>
      </c>
      <c r="J61" s="18">
        <f t="shared" si="1"/>
        <v>0</v>
      </c>
    </row>
    <row r="62" spans="1:10" ht="15.75" customHeight="1">
      <c r="A62" s="2" t="s">
        <v>3251</v>
      </c>
      <c r="B62" s="2" t="s">
        <v>3252</v>
      </c>
      <c r="C62" s="2" t="s">
        <v>3253</v>
      </c>
      <c r="D62" s="2" t="s">
        <v>89</v>
      </c>
      <c r="F62" s="2" t="s">
        <v>3254</v>
      </c>
      <c r="G62" s="2">
        <v>237</v>
      </c>
      <c r="H62">
        <v>237</v>
      </c>
      <c r="I62" s="2">
        <f t="shared" si="0"/>
        <v>0</v>
      </c>
      <c r="J62" s="18">
        <f t="shared" si="1"/>
        <v>0</v>
      </c>
    </row>
    <row r="63" spans="1:10" ht="15.75" customHeight="1">
      <c r="A63" s="2" t="s">
        <v>3282</v>
      </c>
      <c r="B63" s="2" t="s">
        <v>3283</v>
      </c>
      <c r="C63" s="2" t="s">
        <v>3284</v>
      </c>
      <c r="D63" s="2" t="s">
        <v>89</v>
      </c>
      <c r="F63" s="2" t="s">
        <v>3285</v>
      </c>
      <c r="G63" s="2">
        <v>80</v>
      </c>
      <c r="H63">
        <v>80</v>
      </c>
      <c r="I63" s="2">
        <f t="shared" si="0"/>
        <v>0</v>
      </c>
      <c r="J63" s="18">
        <f t="shared" si="1"/>
        <v>0</v>
      </c>
    </row>
    <row r="64" spans="1:10" ht="15.75" customHeight="1">
      <c r="A64" s="2" t="s">
        <v>3374</v>
      </c>
      <c r="B64" s="2" t="s">
        <v>3296</v>
      </c>
      <c r="C64" s="2" t="s">
        <v>3375</v>
      </c>
      <c r="D64" s="2" t="s">
        <v>15</v>
      </c>
      <c r="E64" s="2" t="s">
        <v>3376</v>
      </c>
      <c r="G64" s="2">
        <v>30</v>
      </c>
      <c r="H64">
        <v>30</v>
      </c>
      <c r="I64" s="2">
        <f t="shared" si="0"/>
        <v>0</v>
      </c>
      <c r="J64" s="18">
        <f t="shared" si="1"/>
        <v>0</v>
      </c>
    </row>
    <row r="65" spans="1:10" ht="15.75" customHeight="1">
      <c r="A65" s="2" t="s">
        <v>3868</v>
      </c>
      <c r="B65" s="2" t="s">
        <v>3430</v>
      </c>
      <c r="C65" s="2" t="s">
        <v>3869</v>
      </c>
      <c r="D65" s="2" t="s">
        <v>126</v>
      </c>
      <c r="E65" s="2" t="s">
        <v>3870</v>
      </c>
      <c r="G65" s="2">
        <v>12</v>
      </c>
      <c r="H65">
        <v>12</v>
      </c>
      <c r="I65" s="2">
        <f t="shared" si="0"/>
        <v>0</v>
      </c>
      <c r="J65" s="18">
        <f t="shared" si="1"/>
        <v>0</v>
      </c>
    </row>
    <row r="66" spans="1:10" ht="15.75" customHeight="1">
      <c r="A66" s="2" t="s">
        <v>3449</v>
      </c>
      <c r="B66" s="2" t="s">
        <v>3442</v>
      </c>
      <c r="C66" s="2" t="s">
        <v>3450</v>
      </c>
      <c r="D66" s="2" t="s">
        <v>15</v>
      </c>
      <c r="E66" s="2" t="s">
        <v>3451</v>
      </c>
      <c r="G66" s="2">
        <v>11</v>
      </c>
      <c r="H66">
        <v>11</v>
      </c>
      <c r="I66" s="2">
        <f t="shared" si="0"/>
        <v>0</v>
      </c>
      <c r="J66" s="18">
        <f t="shared" si="1"/>
        <v>0</v>
      </c>
    </row>
    <row r="67" spans="1:10" ht="15.75" customHeight="1">
      <c r="A67" s="2" t="s">
        <v>3454</v>
      </c>
      <c r="B67" s="2" t="s">
        <v>3455</v>
      </c>
      <c r="C67" s="2" t="s">
        <v>3456</v>
      </c>
      <c r="D67" s="2" t="s">
        <v>15</v>
      </c>
      <c r="E67" s="2" t="s">
        <v>3457</v>
      </c>
      <c r="G67" s="2">
        <v>53</v>
      </c>
      <c r="H67">
        <v>53</v>
      </c>
      <c r="I67" s="2">
        <f t="shared" si="0"/>
        <v>0</v>
      </c>
      <c r="J67" s="18">
        <f t="shared" si="1"/>
        <v>0</v>
      </c>
    </row>
    <row r="68" spans="1:10" ht="15.75" customHeight="1">
      <c r="A68" s="2" t="s">
        <v>3479</v>
      </c>
      <c r="B68" s="2" t="s">
        <v>3465</v>
      </c>
      <c r="C68" s="2" t="s">
        <v>3480</v>
      </c>
      <c r="D68" s="2" t="s">
        <v>126</v>
      </c>
      <c r="E68" s="2" t="s">
        <v>3481</v>
      </c>
      <c r="G68" s="2">
        <v>62</v>
      </c>
      <c r="H68">
        <v>62</v>
      </c>
      <c r="I68" s="2">
        <f t="shared" si="0"/>
        <v>0</v>
      </c>
      <c r="J68" s="18">
        <f t="shared" si="1"/>
        <v>0</v>
      </c>
    </row>
    <row r="69" spans="1:10" ht="15.75" customHeight="1">
      <c r="A69" s="2" t="s">
        <v>3529</v>
      </c>
      <c r="B69" s="2" t="s">
        <v>3530</v>
      </c>
      <c r="C69" s="2" t="s">
        <v>3531</v>
      </c>
      <c r="D69" s="2" t="s">
        <v>61</v>
      </c>
      <c r="E69" s="2" t="s">
        <v>3532</v>
      </c>
      <c r="G69" s="2">
        <v>27</v>
      </c>
      <c r="H69">
        <v>27</v>
      </c>
      <c r="I69" s="2">
        <f t="shared" si="0"/>
        <v>0</v>
      </c>
      <c r="J69" s="18">
        <f t="shared" si="1"/>
        <v>0</v>
      </c>
    </row>
    <row r="70" spans="1:10" ht="15.75" customHeight="1">
      <c r="A70" s="2" t="s">
        <v>3649</v>
      </c>
      <c r="B70" s="2" t="s">
        <v>3542</v>
      </c>
      <c r="C70" s="2" t="s">
        <v>3650</v>
      </c>
      <c r="D70" s="2" t="s">
        <v>330</v>
      </c>
      <c r="F70" s="2" t="s">
        <v>3651</v>
      </c>
      <c r="G70" s="2">
        <v>32</v>
      </c>
      <c r="H70">
        <v>32</v>
      </c>
      <c r="I70" s="2">
        <f t="shared" si="0"/>
        <v>0</v>
      </c>
      <c r="J70" s="18">
        <f t="shared" si="1"/>
        <v>0</v>
      </c>
    </row>
    <row r="71" spans="1:10" ht="15.75" customHeight="1">
      <c r="A71" s="2" t="s">
        <v>3664</v>
      </c>
      <c r="B71" s="2" t="s">
        <v>3659</v>
      </c>
      <c r="C71" s="2" t="s">
        <v>3665</v>
      </c>
      <c r="D71" s="2" t="s">
        <v>24</v>
      </c>
      <c r="E71" s="2" t="s">
        <v>3666</v>
      </c>
      <c r="G71" s="2">
        <v>12</v>
      </c>
      <c r="H71">
        <v>12</v>
      </c>
      <c r="I71" s="2">
        <f t="shared" si="0"/>
        <v>0</v>
      </c>
      <c r="J71" s="18">
        <f t="shared" si="1"/>
        <v>0</v>
      </c>
    </row>
    <row r="72" spans="1:10" ht="15.75" customHeight="1">
      <c r="A72" s="2" t="s">
        <v>3710</v>
      </c>
      <c r="B72" s="2" t="s">
        <v>3675</v>
      </c>
      <c r="C72" s="2" t="s">
        <v>3711</v>
      </c>
      <c r="D72" s="2" t="s">
        <v>157</v>
      </c>
      <c r="E72" s="2" t="s">
        <v>3712</v>
      </c>
      <c r="G72" s="2">
        <v>34</v>
      </c>
      <c r="H72">
        <v>34</v>
      </c>
      <c r="I72" s="2">
        <f t="shared" si="0"/>
        <v>0</v>
      </c>
      <c r="J72" s="18">
        <f t="shared" si="1"/>
        <v>0</v>
      </c>
    </row>
    <row r="73" spans="1:10" ht="15.75" customHeight="1">
      <c r="A73" s="2" t="s">
        <v>3733</v>
      </c>
      <c r="B73" s="2" t="s">
        <v>3734</v>
      </c>
      <c r="C73" s="2" t="s">
        <v>3735</v>
      </c>
      <c r="D73" s="2" t="s">
        <v>24</v>
      </c>
      <c r="E73" s="2" t="s">
        <v>3736</v>
      </c>
      <c r="G73" s="2">
        <v>27</v>
      </c>
      <c r="H73">
        <v>27</v>
      </c>
      <c r="I73" s="2">
        <f t="shared" si="0"/>
        <v>0</v>
      </c>
      <c r="J73" s="18">
        <f t="shared" si="1"/>
        <v>0</v>
      </c>
    </row>
    <row r="74" spans="1:10" ht="15.75" customHeight="1">
      <c r="A74" s="2" t="s">
        <v>3750</v>
      </c>
      <c r="B74" s="2" t="s">
        <v>3744</v>
      </c>
      <c r="C74" s="2" t="s">
        <v>3751</v>
      </c>
      <c r="D74" s="2" t="s">
        <v>24</v>
      </c>
      <c r="E74" s="2" t="s">
        <v>3752</v>
      </c>
      <c r="G74" s="2">
        <v>26</v>
      </c>
      <c r="H74">
        <v>41</v>
      </c>
      <c r="I74" s="2">
        <f t="shared" si="0"/>
        <v>15</v>
      </c>
      <c r="J74" s="18">
        <f t="shared" si="1"/>
        <v>36.585365853658537</v>
      </c>
    </row>
    <row r="75" spans="1:10" ht="15.75" customHeight="1">
      <c r="A75" s="2" t="s">
        <v>3774</v>
      </c>
      <c r="B75" s="2" t="s">
        <v>3775</v>
      </c>
      <c r="C75" s="2" t="s">
        <v>3776</v>
      </c>
      <c r="D75" s="2" t="s">
        <v>120</v>
      </c>
      <c r="E75" s="2" t="s">
        <v>3777</v>
      </c>
      <c r="G75" s="2">
        <v>9</v>
      </c>
      <c r="H75">
        <v>9</v>
      </c>
      <c r="I75" s="2">
        <f t="shared" si="0"/>
        <v>0</v>
      </c>
      <c r="J75" s="18">
        <f t="shared" si="1"/>
        <v>0</v>
      </c>
    </row>
    <row r="76" spans="1:10" ht="15.75" customHeight="1">
      <c r="A76" s="2" t="s">
        <v>3785</v>
      </c>
      <c r="B76" s="2" t="s">
        <v>3786</v>
      </c>
      <c r="C76" s="2" t="s">
        <v>3787</v>
      </c>
      <c r="D76" s="2" t="s">
        <v>120</v>
      </c>
      <c r="E76" s="2" t="s">
        <v>3788</v>
      </c>
      <c r="G76" s="19">
        <v>4</v>
      </c>
      <c r="H76">
        <v>4</v>
      </c>
      <c r="I76" s="2">
        <f t="shared" si="0"/>
        <v>0</v>
      </c>
      <c r="J76" s="18">
        <f t="shared" si="1"/>
        <v>0</v>
      </c>
    </row>
    <row r="77" spans="1:10" ht="15.75" customHeight="1">
      <c r="A77" s="2" t="s">
        <v>3795</v>
      </c>
      <c r="B77" s="2" t="s">
        <v>3796</v>
      </c>
      <c r="C77" s="2" t="s">
        <v>3797</v>
      </c>
      <c r="D77" s="2" t="s">
        <v>126</v>
      </c>
      <c r="E77" s="2" t="s">
        <v>3798</v>
      </c>
      <c r="G77" s="2">
        <v>97</v>
      </c>
      <c r="H77">
        <v>97</v>
      </c>
      <c r="I77" s="2">
        <f t="shared" si="0"/>
        <v>0</v>
      </c>
      <c r="J77" s="18">
        <f t="shared" si="1"/>
        <v>0</v>
      </c>
    </row>
    <row r="78" spans="1:10" ht="15.75" customHeight="1">
      <c r="A78" s="2" t="s">
        <v>3871</v>
      </c>
      <c r="B78" s="2" t="s">
        <v>3810</v>
      </c>
      <c r="C78" s="2" t="s">
        <v>3872</v>
      </c>
      <c r="D78" s="2" t="s">
        <v>24</v>
      </c>
      <c r="E78" s="2" t="s">
        <v>3873</v>
      </c>
      <c r="G78" s="2">
        <v>21</v>
      </c>
      <c r="H78">
        <v>21</v>
      </c>
      <c r="I78" s="2">
        <f t="shared" si="0"/>
        <v>0</v>
      </c>
      <c r="J78" s="18">
        <f t="shared" si="1"/>
        <v>0</v>
      </c>
    </row>
    <row r="79" spans="1:10" ht="15.75" customHeight="1">
      <c r="G79" s="17"/>
      <c r="J79" s="18"/>
    </row>
    <row r="80" spans="1:10" ht="15.75" customHeight="1">
      <c r="F80" s="2" t="s">
        <v>3874</v>
      </c>
      <c r="G80" s="17">
        <f t="shared" ref="G80:I80" si="2">SUM(G2:G78)</f>
        <v>3313</v>
      </c>
      <c r="H80" s="2">
        <f t="shared" si="2"/>
        <v>3410</v>
      </c>
      <c r="I80" s="2">
        <f t="shared" si="2"/>
        <v>97</v>
      </c>
      <c r="J80" s="18">
        <f>(I80)/(G80)*100</f>
        <v>2.9278599456685783</v>
      </c>
    </row>
    <row r="81" spans="7:7" ht="15.75" customHeight="1">
      <c r="G81" s="17"/>
    </row>
    <row r="82" spans="7:7" ht="15.75" customHeight="1">
      <c r="G82" s="17"/>
    </row>
    <row r="83" spans="7:7" ht="15.75" customHeight="1">
      <c r="G83" s="17"/>
    </row>
    <row r="84" spans="7:7" ht="15.75" customHeight="1">
      <c r="G84" s="17"/>
    </row>
    <row r="85" spans="7:7" ht="15.75" customHeight="1">
      <c r="G85" s="17"/>
    </row>
    <row r="86" spans="7:7" ht="15.75" customHeight="1">
      <c r="G86" s="17"/>
    </row>
    <row r="87" spans="7:7" ht="15.75" customHeight="1">
      <c r="G87" s="17"/>
    </row>
    <row r="88" spans="7:7" ht="15.75" customHeight="1">
      <c r="G88" s="17"/>
    </row>
    <row r="89" spans="7:7" ht="15.75" customHeight="1">
      <c r="G89" s="17"/>
    </row>
    <row r="90" spans="7:7" ht="15.75" customHeight="1">
      <c r="G90" s="17"/>
    </row>
    <row r="91" spans="7:7" ht="15.75" customHeight="1">
      <c r="G91" s="17"/>
    </row>
    <row r="92" spans="7:7" ht="15.75" customHeight="1">
      <c r="G92" s="17"/>
    </row>
    <row r="93" spans="7:7" ht="15.75" customHeight="1">
      <c r="G93" s="17"/>
    </row>
    <row r="94" spans="7:7" ht="15.75" customHeight="1">
      <c r="G94" s="17"/>
    </row>
    <row r="95" spans="7:7" ht="15.75" customHeight="1">
      <c r="G95" s="17"/>
    </row>
    <row r="96" spans="7:7" ht="15.75" customHeight="1">
      <c r="G96" s="17"/>
    </row>
    <row r="97" spans="7:7" ht="15.75" customHeight="1">
      <c r="G97" s="17"/>
    </row>
    <row r="98" spans="7:7" ht="15.75" customHeight="1">
      <c r="G98" s="17"/>
    </row>
    <row r="99" spans="7:7" ht="15.75" customHeight="1">
      <c r="G99" s="17"/>
    </row>
    <row r="100" spans="7:7" ht="15.75" customHeight="1">
      <c r="G100" s="17"/>
    </row>
    <row r="101" spans="7:7" ht="15.75" customHeight="1">
      <c r="G101" s="17"/>
    </row>
    <row r="102" spans="7:7" ht="15.75" customHeight="1">
      <c r="G102" s="17"/>
    </row>
    <row r="103" spans="7:7" ht="15.75" customHeight="1">
      <c r="G103" s="17"/>
    </row>
    <row r="104" spans="7:7" ht="15.75" customHeight="1">
      <c r="G104" s="17"/>
    </row>
    <row r="105" spans="7:7" ht="15.75" customHeight="1">
      <c r="G105" s="17"/>
    </row>
    <row r="106" spans="7:7" ht="15.75" customHeight="1">
      <c r="G106" s="17"/>
    </row>
    <row r="107" spans="7:7" ht="15.75" customHeight="1">
      <c r="G107" s="17"/>
    </row>
    <row r="108" spans="7:7" ht="15.75" customHeight="1">
      <c r="G108" s="17"/>
    </row>
    <row r="109" spans="7:7" ht="15.75" customHeight="1">
      <c r="G109" s="17"/>
    </row>
    <row r="110" spans="7:7" ht="15.75" customHeight="1">
      <c r="G110" s="17"/>
    </row>
    <row r="111" spans="7:7" ht="15.75" customHeight="1">
      <c r="G111" s="17"/>
    </row>
    <row r="112" spans="7:7" ht="15.75" customHeight="1">
      <c r="G112" s="17"/>
    </row>
    <row r="113" spans="7:7" ht="15.75" customHeight="1">
      <c r="G113" s="17"/>
    </row>
    <row r="114" spans="7:7" ht="15.75" customHeight="1">
      <c r="G114" s="17"/>
    </row>
    <row r="115" spans="7:7" ht="15.75" customHeight="1">
      <c r="G115" s="17"/>
    </row>
    <row r="116" spans="7:7" ht="15.75" customHeight="1">
      <c r="G116" s="17"/>
    </row>
    <row r="117" spans="7:7" ht="15.75" customHeight="1">
      <c r="G117" s="17"/>
    </row>
    <row r="118" spans="7:7" ht="15.75" customHeight="1">
      <c r="G118" s="17"/>
    </row>
    <row r="119" spans="7:7" ht="15.75" customHeight="1">
      <c r="G119" s="17"/>
    </row>
    <row r="120" spans="7:7" ht="15.75" customHeight="1">
      <c r="G120" s="17"/>
    </row>
    <row r="121" spans="7:7" ht="15.75" customHeight="1">
      <c r="G121" s="17"/>
    </row>
    <row r="122" spans="7:7" ht="15.75" customHeight="1">
      <c r="G122" s="17"/>
    </row>
    <row r="123" spans="7:7" ht="15.75" customHeight="1">
      <c r="G123" s="17"/>
    </row>
    <row r="124" spans="7:7" ht="15.75" customHeight="1">
      <c r="G124" s="17"/>
    </row>
    <row r="125" spans="7:7" ht="15.75" customHeight="1">
      <c r="G125" s="17"/>
    </row>
    <row r="126" spans="7:7" ht="15.75" customHeight="1">
      <c r="G126" s="17"/>
    </row>
    <row r="127" spans="7:7" ht="15.75" customHeight="1">
      <c r="G127" s="17"/>
    </row>
    <row r="128" spans="7:7" ht="15.75" customHeight="1">
      <c r="G128" s="17"/>
    </row>
    <row r="129" spans="7:7" ht="15.75" customHeight="1">
      <c r="G129" s="17"/>
    </row>
    <row r="130" spans="7:7" ht="15.75" customHeight="1">
      <c r="G130" s="17"/>
    </row>
    <row r="131" spans="7:7" ht="15.75" customHeight="1">
      <c r="G131" s="17"/>
    </row>
    <row r="132" spans="7:7" ht="15.75" customHeight="1">
      <c r="G132" s="17"/>
    </row>
    <row r="133" spans="7:7" ht="15.75" customHeight="1">
      <c r="G133" s="17"/>
    </row>
    <row r="134" spans="7:7" ht="15.75" customHeight="1">
      <c r="G134" s="17"/>
    </row>
    <row r="135" spans="7:7" ht="15.75" customHeight="1">
      <c r="G135" s="17"/>
    </row>
    <row r="136" spans="7:7" ht="15.75" customHeight="1">
      <c r="G136" s="17"/>
    </row>
    <row r="137" spans="7:7" ht="15.75" customHeight="1">
      <c r="G137" s="17"/>
    </row>
    <row r="138" spans="7:7" ht="15.75" customHeight="1">
      <c r="G138" s="17"/>
    </row>
    <row r="139" spans="7:7" ht="15.75" customHeight="1">
      <c r="G139" s="17"/>
    </row>
    <row r="140" spans="7:7" ht="15.75" customHeight="1">
      <c r="G140" s="17"/>
    </row>
    <row r="141" spans="7:7" ht="15.75" customHeight="1">
      <c r="G141" s="17"/>
    </row>
    <row r="142" spans="7:7" ht="15.75" customHeight="1">
      <c r="G142" s="17"/>
    </row>
    <row r="143" spans="7:7" ht="15.75" customHeight="1">
      <c r="G143" s="17"/>
    </row>
    <row r="144" spans="7:7" ht="15.75" customHeight="1">
      <c r="G144" s="17"/>
    </row>
    <row r="145" spans="7:7" ht="15.75" customHeight="1">
      <c r="G145" s="17"/>
    </row>
    <row r="146" spans="7:7" ht="15.75" customHeight="1">
      <c r="G146" s="17"/>
    </row>
    <row r="147" spans="7:7" ht="15.75" customHeight="1">
      <c r="G147" s="17"/>
    </row>
    <row r="148" spans="7:7" ht="15.75" customHeight="1">
      <c r="G148" s="17"/>
    </row>
    <row r="149" spans="7:7" ht="15.75" customHeight="1">
      <c r="G149" s="17"/>
    </row>
    <row r="150" spans="7:7" ht="15.75" customHeight="1">
      <c r="G150" s="17"/>
    </row>
    <row r="151" spans="7:7" ht="15.75" customHeight="1">
      <c r="G151" s="17"/>
    </row>
    <row r="152" spans="7:7" ht="15.75" customHeight="1">
      <c r="G152" s="17"/>
    </row>
    <row r="153" spans="7:7" ht="15.75" customHeight="1">
      <c r="G153" s="17"/>
    </row>
    <row r="154" spans="7:7" ht="15.75" customHeight="1">
      <c r="G154" s="17"/>
    </row>
    <row r="155" spans="7:7" ht="15.75" customHeight="1">
      <c r="G155" s="17"/>
    </row>
    <row r="156" spans="7:7" ht="15.75" customHeight="1">
      <c r="G156" s="17"/>
    </row>
    <row r="157" spans="7:7" ht="15.75" customHeight="1">
      <c r="G157" s="17"/>
    </row>
    <row r="158" spans="7:7" ht="15.75" customHeight="1">
      <c r="G158" s="17"/>
    </row>
    <row r="159" spans="7:7" ht="15.75" customHeight="1">
      <c r="G159" s="17"/>
    </row>
    <row r="160" spans="7:7" ht="15.75" customHeight="1">
      <c r="G160" s="17"/>
    </row>
    <row r="161" spans="7:7" ht="15.75" customHeight="1">
      <c r="G161" s="17"/>
    </row>
    <row r="162" spans="7:7" ht="15.75" customHeight="1">
      <c r="G162" s="17"/>
    </row>
    <row r="163" spans="7:7" ht="15.75" customHeight="1">
      <c r="G163" s="17"/>
    </row>
    <row r="164" spans="7:7" ht="15.75" customHeight="1">
      <c r="G164" s="17"/>
    </row>
    <row r="165" spans="7:7" ht="15.75" customHeight="1">
      <c r="G165" s="17"/>
    </row>
    <row r="166" spans="7:7" ht="15.75" customHeight="1">
      <c r="G166" s="17"/>
    </row>
    <row r="167" spans="7:7" ht="15.75" customHeight="1">
      <c r="G167" s="17"/>
    </row>
    <row r="168" spans="7:7" ht="15.75" customHeight="1">
      <c r="G168" s="17"/>
    </row>
    <row r="169" spans="7:7" ht="15.75" customHeight="1">
      <c r="G169" s="17"/>
    </row>
    <row r="170" spans="7:7" ht="15.75" customHeight="1">
      <c r="G170" s="17"/>
    </row>
    <row r="171" spans="7:7" ht="15.75" customHeight="1">
      <c r="G171" s="17"/>
    </row>
    <row r="172" spans="7:7" ht="15.75" customHeight="1">
      <c r="G172" s="17"/>
    </row>
    <row r="173" spans="7:7" ht="15.75" customHeight="1">
      <c r="G173" s="17"/>
    </row>
    <row r="174" spans="7:7" ht="15.75" customHeight="1">
      <c r="G174" s="17"/>
    </row>
    <row r="175" spans="7:7" ht="15.75" customHeight="1">
      <c r="G175" s="17"/>
    </row>
    <row r="176" spans="7:7" ht="15.75" customHeight="1">
      <c r="G176" s="17"/>
    </row>
    <row r="177" spans="7:7" ht="15.75" customHeight="1">
      <c r="G177" s="17"/>
    </row>
    <row r="178" spans="7:7" ht="15.75" customHeight="1">
      <c r="G178" s="17"/>
    </row>
    <row r="179" spans="7:7" ht="15.75" customHeight="1">
      <c r="G179" s="17"/>
    </row>
    <row r="180" spans="7:7" ht="15.75" customHeight="1">
      <c r="G180" s="17"/>
    </row>
    <row r="181" spans="7:7" ht="15.75" customHeight="1">
      <c r="G181" s="17"/>
    </row>
    <row r="182" spans="7:7" ht="15.75" customHeight="1">
      <c r="G182" s="17"/>
    </row>
    <row r="183" spans="7:7" ht="15.75" customHeight="1">
      <c r="G183" s="17"/>
    </row>
    <row r="184" spans="7:7" ht="15.75" customHeight="1">
      <c r="G184" s="17"/>
    </row>
    <row r="185" spans="7:7" ht="15.75" customHeight="1">
      <c r="G185" s="17"/>
    </row>
    <row r="186" spans="7:7" ht="15.75" customHeight="1">
      <c r="G186" s="17"/>
    </row>
    <row r="187" spans="7:7" ht="15.75" customHeight="1">
      <c r="G187" s="17"/>
    </row>
    <row r="188" spans="7:7" ht="15.75" customHeight="1">
      <c r="G188" s="17"/>
    </row>
    <row r="189" spans="7:7" ht="15.75" customHeight="1">
      <c r="G189" s="17"/>
    </row>
    <row r="190" spans="7:7" ht="15.75" customHeight="1">
      <c r="G190" s="17"/>
    </row>
    <row r="191" spans="7:7" ht="15.75" customHeight="1">
      <c r="G191" s="17"/>
    </row>
    <row r="192" spans="7:7" ht="15.75" customHeight="1">
      <c r="G192" s="17"/>
    </row>
    <row r="193" spans="7:7" ht="15.75" customHeight="1">
      <c r="G193" s="17"/>
    </row>
    <row r="194" spans="7:7" ht="15.75" customHeight="1">
      <c r="G194" s="17"/>
    </row>
    <row r="195" spans="7:7" ht="15.75" customHeight="1">
      <c r="G195" s="17"/>
    </row>
    <row r="196" spans="7:7" ht="15.75" customHeight="1">
      <c r="G196" s="17"/>
    </row>
    <row r="197" spans="7:7" ht="15.75" customHeight="1">
      <c r="G197" s="17"/>
    </row>
    <row r="198" spans="7:7" ht="15.75" customHeight="1">
      <c r="G198" s="17"/>
    </row>
    <row r="199" spans="7:7" ht="15.75" customHeight="1">
      <c r="G199" s="17"/>
    </row>
    <row r="200" spans="7:7" ht="15.75" customHeight="1">
      <c r="G200" s="17"/>
    </row>
    <row r="201" spans="7:7" ht="15.75" customHeight="1">
      <c r="G201" s="17"/>
    </row>
    <row r="202" spans="7:7" ht="15.75" customHeight="1">
      <c r="G202" s="17"/>
    </row>
    <row r="203" spans="7:7" ht="15.75" customHeight="1">
      <c r="G203" s="17"/>
    </row>
    <row r="204" spans="7:7" ht="15.75" customHeight="1">
      <c r="G204" s="17"/>
    </row>
    <row r="205" spans="7:7" ht="15.75" customHeight="1">
      <c r="G205" s="17"/>
    </row>
    <row r="206" spans="7:7" ht="15.75" customHeight="1">
      <c r="G206" s="17"/>
    </row>
    <row r="207" spans="7:7" ht="15.75" customHeight="1">
      <c r="G207" s="17"/>
    </row>
    <row r="208" spans="7:7" ht="15.75" customHeight="1">
      <c r="G208" s="17"/>
    </row>
    <row r="209" spans="7:7" ht="15.75" customHeight="1">
      <c r="G209" s="17"/>
    </row>
    <row r="210" spans="7:7" ht="15.75" customHeight="1">
      <c r="G210" s="17"/>
    </row>
    <row r="211" spans="7:7" ht="15.75" customHeight="1">
      <c r="G211" s="17"/>
    </row>
    <row r="212" spans="7:7" ht="15.75" customHeight="1">
      <c r="G212" s="17"/>
    </row>
    <row r="213" spans="7:7" ht="15.75" customHeight="1">
      <c r="G213" s="17"/>
    </row>
    <row r="214" spans="7:7" ht="15.75" customHeight="1">
      <c r="G214" s="17"/>
    </row>
    <row r="215" spans="7:7" ht="15.75" customHeight="1">
      <c r="G215" s="17"/>
    </row>
    <row r="216" spans="7:7" ht="15.75" customHeight="1">
      <c r="G216" s="17"/>
    </row>
    <row r="217" spans="7:7" ht="15.75" customHeight="1">
      <c r="G217" s="17"/>
    </row>
    <row r="218" spans="7:7" ht="15.75" customHeight="1">
      <c r="G218" s="17"/>
    </row>
    <row r="219" spans="7:7" ht="15.75" customHeight="1">
      <c r="G219" s="17"/>
    </row>
    <row r="220" spans="7:7" ht="15.75" customHeight="1">
      <c r="G220" s="17"/>
    </row>
    <row r="221" spans="7:7" ht="15.75" customHeight="1">
      <c r="G221" s="17"/>
    </row>
    <row r="222" spans="7:7" ht="15.75" customHeight="1">
      <c r="G222" s="17"/>
    </row>
    <row r="223" spans="7:7" ht="15.75" customHeight="1">
      <c r="G223" s="17"/>
    </row>
    <row r="224" spans="7:7" ht="15.75" customHeight="1">
      <c r="G224" s="17"/>
    </row>
    <row r="225" spans="7:7" ht="15.75" customHeight="1">
      <c r="G225" s="17"/>
    </row>
    <row r="226" spans="7:7" ht="15.75" customHeight="1">
      <c r="G226" s="17"/>
    </row>
    <row r="227" spans="7:7" ht="15.75" customHeight="1">
      <c r="G227" s="17"/>
    </row>
    <row r="228" spans="7:7" ht="15.75" customHeight="1">
      <c r="G228" s="17"/>
    </row>
    <row r="229" spans="7:7" ht="15.75" customHeight="1">
      <c r="G229" s="17"/>
    </row>
    <row r="230" spans="7:7" ht="15.75" customHeight="1">
      <c r="G230" s="17"/>
    </row>
    <row r="231" spans="7:7" ht="15.75" customHeight="1">
      <c r="G231" s="17"/>
    </row>
    <row r="232" spans="7:7" ht="15.75" customHeight="1">
      <c r="G232" s="17"/>
    </row>
    <row r="233" spans="7:7" ht="15.75" customHeight="1">
      <c r="G233" s="17"/>
    </row>
    <row r="234" spans="7:7" ht="15.75" customHeight="1">
      <c r="G234" s="17"/>
    </row>
    <row r="235" spans="7:7" ht="15.75" customHeight="1">
      <c r="G235" s="17"/>
    </row>
    <row r="236" spans="7:7" ht="15.75" customHeight="1">
      <c r="G236" s="17"/>
    </row>
    <row r="237" spans="7:7" ht="15.75" customHeight="1">
      <c r="G237" s="17"/>
    </row>
    <row r="238" spans="7:7" ht="15.75" customHeight="1">
      <c r="G238" s="17"/>
    </row>
    <row r="239" spans="7:7" ht="15.75" customHeight="1">
      <c r="G239" s="17"/>
    </row>
    <row r="240" spans="7:7" ht="15.75" customHeight="1">
      <c r="G240" s="17"/>
    </row>
    <row r="241" spans="7:7" ht="15.75" customHeight="1">
      <c r="G241" s="17"/>
    </row>
    <row r="242" spans="7:7" ht="15.75" customHeight="1">
      <c r="G242" s="17"/>
    </row>
    <row r="243" spans="7:7" ht="15.75" customHeight="1">
      <c r="G243" s="17"/>
    </row>
    <row r="244" spans="7:7" ht="15.75" customHeight="1">
      <c r="G244" s="17"/>
    </row>
    <row r="245" spans="7:7" ht="15.75" customHeight="1">
      <c r="G245" s="17"/>
    </row>
    <row r="246" spans="7:7" ht="15.75" customHeight="1">
      <c r="G246" s="17"/>
    </row>
    <row r="247" spans="7:7" ht="15.75" customHeight="1">
      <c r="G247" s="17"/>
    </row>
    <row r="248" spans="7:7" ht="15.75" customHeight="1">
      <c r="G248" s="17"/>
    </row>
    <row r="249" spans="7:7" ht="15.75" customHeight="1">
      <c r="G249" s="17"/>
    </row>
    <row r="250" spans="7:7" ht="15.75" customHeight="1">
      <c r="G250" s="17"/>
    </row>
    <row r="251" spans="7:7" ht="15.75" customHeight="1">
      <c r="G251" s="17"/>
    </row>
    <row r="252" spans="7:7" ht="15.75" customHeight="1">
      <c r="G252" s="17"/>
    </row>
    <row r="253" spans="7:7" ht="15.75" customHeight="1">
      <c r="G253" s="17"/>
    </row>
    <row r="254" spans="7:7" ht="15.75" customHeight="1">
      <c r="G254" s="17"/>
    </row>
    <row r="255" spans="7:7" ht="15.75" customHeight="1">
      <c r="G255" s="17"/>
    </row>
    <row r="256" spans="7:7" ht="15.75" customHeight="1">
      <c r="G256" s="17"/>
    </row>
    <row r="257" spans="7:7" ht="15.75" customHeight="1">
      <c r="G257" s="17"/>
    </row>
    <row r="258" spans="7:7" ht="15.75" customHeight="1">
      <c r="G258" s="17"/>
    </row>
    <row r="259" spans="7:7" ht="15.75" customHeight="1">
      <c r="G259" s="17"/>
    </row>
    <row r="260" spans="7:7" ht="15.75" customHeight="1">
      <c r="G260" s="17"/>
    </row>
    <row r="261" spans="7:7" ht="15.75" customHeight="1">
      <c r="G261" s="17"/>
    </row>
    <row r="262" spans="7:7" ht="15.75" customHeight="1">
      <c r="G262" s="17"/>
    </row>
    <row r="263" spans="7:7" ht="15.75" customHeight="1">
      <c r="G263" s="17"/>
    </row>
    <row r="264" spans="7:7" ht="15.75" customHeight="1">
      <c r="G264" s="17"/>
    </row>
    <row r="265" spans="7:7" ht="15.75" customHeight="1">
      <c r="G265" s="17"/>
    </row>
    <row r="266" spans="7:7" ht="15.75" customHeight="1">
      <c r="G266" s="17"/>
    </row>
    <row r="267" spans="7:7" ht="15.75" customHeight="1">
      <c r="G267" s="17"/>
    </row>
    <row r="268" spans="7:7" ht="15.75" customHeight="1">
      <c r="G268" s="17"/>
    </row>
    <row r="269" spans="7:7" ht="15.75" customHeight="1">
      <c r="G269" s="17"/>
    </row>
    <row r="270" spans="7:7" ht="15.75" customHeight="1">
      <c r="G270" s="17"/>
    </row>
    <row r="271" spans="7:7" ht="15.75" customHeight="1">
      <c r="G271" s="17"/>
    </row>
    <row r="272" spans="7:7" ht="15.75" customHeight="1">
      <c r="G272" s="17"/>
    </row>
    <row r="273" spans="7:7" ht="15.75" customHeight="1">
      <c r="G273" s="17"/>
    </row>
    <row r="274" spans="7:7" ht="15.75" customHeight="1">
      <c r="G274" s="17"/>
    </row>
    <row r="275" spans="7:7" ht="15.75" customHeight="1">
      <c r="G275" s="17"/>
    </row>
    <row r="276" spans="7:7" ht="15.75" customHeight="1">
      <c r="G276" s="17"/>
    </row>
    <row r="277" spans="7:7" ht="15.75" customHeight="1">
      <c r="G277" s="17"/>
    </row>
    <row r="278" spans="7:7" ht="15.75" customHeight="1">
      <c r="G278" s="17"/>
    </row>
    <row r="279" spans="7:7" ht="15.75" customHeight="1">
      <c r="G279" s="17"/>
    </row>
    <row r="280" spans="7:7" ht="15.75" customHeight="1">
      <c r="G280" s="17"/>
    </row>
    <row r="281" spans="7:7" ht="15.75" customHeight="1">
      <c r="G281" s="17"/>
    </row>
    <row r="282" spans="7:7" ht="15.75" customHeight="1">
      <c r="G282" s="17"/>
    </row>
    <row r="283" spans="7:7" ht="15.75" customHeight="1">
      <c r="G283" s="17"/>
    </row>
    <row r="284" spans="7:7" ht="15.75" customHeight="1">
      <c r="G284" s="17"/>
    </row>
    <row r="285" spans="7:7" ht="15.75" customHeight="1">
      <c r="G285" s="17"/>
    </row>
    <row r="286" spans="7:7" ht="15.75" customHeight="1">
      <c r="G286" s="17"/>
    </row>
    <row r="287" spans="7:7" ht="15.75" customHeight="1">
      <c r="G287" s="17"/>
    </row>
    <row r="288" spans="7:7" ht="15.75" customHeight="1">
      <c r="G288" s="17"/>
    </row>
    <row r="289" spans="7:7" ht="15.75" customHeight="1">
      <c r="G289" s="17"/>
    </row>
    <row r="290" spans="7:7" ht="15.75" customHeight="1">
      <c r="G290" s="17"/>
    </row>
    <row r="291" spans="7:7" ht="15.75" customHeight="1">
      <c r="G291" s="17"/>
    </row>
    <row r="292" spans="7:7" ht="15.75" customHeight="1">
      <c r="G292" s="17"/>
    </row>
    <row r="293" spans="7:7" ht="15.75" customHeight="1">
      <c r="G293" s="17"/>
    </row>
    <row r="294" spans="7:7" ht="15.75" customHeight="1">
      <c r="G294" s="17"/>
    </row>
    <row r="295" spans="7:7" ht="15.75" customHeight="1">
      <c r="G295" s="17"/>
    </row>
    <row r="296" spans="7:7" ht="15.75" customHeight="1">
      <c r="G296" s="17"/>
    </row>
    <row r="297" spans="7:7" ht="15.75" customHeight="1">
      <c r="G297" s="17"/>
    </row>
    <row r="298" spans="7:7" ht="15.75" customHeight="1">
      <c r="G298" s="17"/>
    </row>
    <row r="299" spans="7:7" ht="15.75" customHeight="1">
      <c r="G299" s="17"/>
    </row>
    <row r="300" spans="7:7" ht="15.75" customHeight="1">
      <c r="G300" s="17"/>
    </row>
    <row r="301" spans="7:7" ht="15.75" customHeight="1">
      <c r="G301" s="17"/>
    </row>
    <row r="302" spans="7:7" ht="15.75" customHeight="1">
      <c r="G302" s="17"/>
    </row>
    <row r="303" spans="7:7" ht="15.75" customHeight="1">
      <c r="G303" s="17"/>
    </row>
    <row r="304" spans="7:7" ht="15.75" customHeight="1">
      <c r="G304" s="17"/>
    </row>
    <row r="305" spans="7:7" ht="15.75" customHeight="1">
      <c r="G305" s="17"/>
    </row>
    <row r="306" spans="7:7" ht="15.75" customHeight="1">
      <c r="G306" s="17"/>
    </row>
    <row r="307" spans="7:7" ht="15.75" customHeight="1">
      <c r="G307" s="17"/>
    </row>
    <row r="308" spans="7:7" ht="15.75" customHeight="1">
      <c r="G308" s="17"/>
    </row>
    <row r="309" spans="7:7" ht="15.75" customHeight="1">
      <c r="G309" s="17"/>
    </row>
    <row r="310" spans="7:7" ht="15.75" customHeight="1">
      <c r="G310" s="17"/>
    </row>
    <row r="311" spans="7:7" ht="15.75" customHeight="1">
      <c r="G311" s="17"/>
    </row>
    <row r="312" spans="7:7" ht="15.75" customHeight="1">
      <c r="G312" s="17"/>
    </row>
    <row r="313" spans="7:7" ht="15.75" customHeight="1">
      <c r="G313" s="17"/>
    </row>
    <row r="314" spans="7:7" ht="15.75" customHeight="1">
      <c r="G314" s="17"/>
    </row>
    <row r="315" spans="7:7" ht="15.75" customHeight="1">
      <c r="G315" s="17"/>
    </row>
    <row r="316" spans="7:7" ht="15.75" customHeight="1">
      <c r="G316" s="17"/>
    </row>
    <row r="317" spans="7:7" ht="15.75" customHeight="1">
      <c r="G317" s="17"/>
    </row>
    <row r="318" spans="7:7" ht="15.75" customHeight="1">
      <c r="G318" s="17"/>
    </row>
    <row r="319" spans="7:7" ht="15.75" customHeight="1">
      <c r="G319" s="17"/>
    </row>
    <row r="320" spans="7:7" ht="15.75" customHeight="1">
      <c r="G320" s="17"/>
    </row>
    <row r="321" spans="7:7" ht="15.75" customHeight="1">
      <c r="G321" s="17"/>
    </row>
    <row r="322" spans="7:7" ht="15.75" customHeight="1">
      <c r="G322" s="17"/>
    </row>
    <row r="323" spans="7:7" ht="15.75" customHeight="1">
      <c r="G323" s="17"/>
    </row>
    <row r="324" spans="7:7" ht="15.75" customHeight="1">
      <c r="G324" s="17"/>
    </row>
    <row r="325" spans="7:7" ht="15.75" customHeight="1">
      <c r="G325" s="17"/>
    </row>
    <row r="326" spans="7:7" ht="15.75" customHeight="1">
      <c r="G326" s="17"/>
    </row>
    <row r="327" spans="7:7" ht="15.75" customHeight="1">
      <c r="G327" s="17"/>
    </row>
    <row r="328" spans="7:7" ht="15.75" customHeight="1">
      <c r="G328" s="17"/>
    </row>
    <row r="329" spans="7:7" ht="15.75" customHeight="1">
      <c r="G329" s="17"/>
    </row>
    <row r="330" spans="7:7" ht="15.75" customHeight="1">
      <c r="G330" s="17"/>
    </row>
    <row r="331" spans="7:7" ht="15.75" customHeight="1">
      <c r="G331" s="17"/>
    </row>
    <row r="332" spans="7:7" ht="15.75" customHeight="1">
      <c r="G332" s="17"/>
    </row>
    <row r="333" spans="7:7" ht="15.75" customHeight="1">
      <c r="G333" s="17"/>
    </row>
    <row r="334" spans="7:7" ht="15.75" customHeight="1">
      <c r="G334" s="17"/>
    </row>
    <row r="335" spans="7:7" ht="15.75" customHeight="1">
      <c r="G335" s="17"/>
    </row>
    <row r="336" spans="7:7" ht="15.75" customHeight="1">
      <c r="G336" s="17"/>
    </row>
    <row r="337" spans="7:7" ht="15.75" customHeight="1">
      <c r="G337" s="17"/>
    </row>
    <row r="338" spans="7:7" ht="15.75" customHeight="1">
      <c r="G338" s="17"/>
    </row>
    <row r="339" spans="7:7" ht="15.75" customHeight="1">
      <c r="G339" s="17"/>
    </row>
    <row r="340" spans="7:7" ht="15.75" customHeight="1">
      <c r="G340" s="17"/>
    </row>
    <row r="341" spans="7:7" ht="15.75" customHeight="1">
      <c r="G341" s="17"/>
    </row>
    <row r="342" spans="7:7" ht="15.75" customHeight="1">
      <c r="G342" s="17"/>
    </row>
    <row r="343" spans="7:7" ht="15.75" customHeight="1">
      <c r="G343" s="17"/>
    </row>
    <row r="344" spans="7:7" ht="15.75" customHeight="1">
      <c r="G344" s="17"/>
    </row>
    <row r="345" spans="7:7" ht="15.75" customHeight="1">
      <c r="G345" s="17"/>
    </row>
    <row r="346" spans="7:7" ht="15.75" customHeight="1">
      <c r="G346" s="17"/>
    </row>
    <row r="347" spans="7:7" ht="15.75" customHeight="1">
      <c r="G347" s="17"/>
    </row>
    <row r="348" spans="7:7" ht="15.75" customHeight="1">
      <c r="G348" s="17"/>
    </row>
    <row r="349" spans="7:7" ht="15.75" customHeight="1">
      <c r="G349" s="17"/>
    </row>
    <row r="350" spans="7:7" ht="15.75" customHeight="1">
      <c r="G350" s="17"/>
    </row>
    <row r="351" spans="7:7" ht="15.75" customHeight="1">
      <c r="G351" s="17"/>
    </row>
    <row r="352" spans="7:7" ht="15.75" customHeight="1">
      <c r="G352" s="17"/>
    </row>
    <row r="353" spans="7:7" ht="15.75" customHeight="1">
      <c r="G353" s="17"/>
    </row>
    <row r="354" spans="7:7" ht="15.75" customHeight="1">
      <c r="G354" s="17"/>
    </row>
    <row r="355" spans="7:7" ht="15.75" customHeight="1">
      <c r="G355" s="17"/>
    </row>
    <row r="356" spans="7:7" ht="15.75" customHeight="1">
      <c r="G356" s="17"/>
    </row>
    <row r="357" spans="7:7" ht="15.75" customHeight="1">
      <c r="G357" s="17"/>
    </row>
    <row r="358" spans="7:7" ht="15.75" customHeight="1">
      <c r="G358" s="17"/>
    </row>
    <row r="359" spans="7:7" ht="15.75" customHeight="1">
      <c r="G359" s="17"/>
    </row>
    <row r="360" spans="7:7" ht="15.75" customHeight="1">
      <c r="G360" s="17"/>
    </row>
    <row r="361" spans="7:7" ht="15.75" customHeight="1">
      <c r="G361" s="17"/>
    </row>
    <row r="362" spans="7:7" ht="15.75" customHeight="1">
      <c r="G362" s="17"/>
    </row>
    <row r="363" spans="7:7" ht="15.75" customHeight="1">
      <c r="G363" s="17"/>
    </row>
    <row r="364" spans="7:7" ht="15.75" customHeight="1">
      <c r="G364" s="17"/>
    </row>
    <row r="365" spans="7:7" ht="15.75" customHeight="1">
      <c r="G365" s="17"/>
    </row>
    <row r="366" spans="7:7" ht="15.75" customHeight="1">
      <c r="G366" s="17"/>
    </row>
    <row r="367" spans="7:7" ht="15.75" customHeight="1">
      <c r="G367" s="17"/>
    </row>
    <row r="368" spans="7:7" ht="15.75" customHeight="1">
      <c r="G368" s="17"/>
    </row>
    <row r="369" spans="7:7" ht="15.75" customHeight="1">
      <c r="G369" s="17"/>
    </row>
    <row r="370" spans="7:7" ht="15.75" customHeight="1">
      <c r="G370" s="17"/>
    </row>
    <row r="371" spans="7:7" ht="15.75" customHeight="1">
      <c r="G371" s="17"/>
    </row>
    <row r="372" spans="7:7" ht="15.75" customHeight="1">
      <c r="G372" s="17"/>
    </row>
    <row r="373" spans="7:7" ht="15.75" customHeight="1">
      <c r="G373" s="17"/>
    </row>
    <row r="374" spans="7:7" ht="15.75" customHeight="1">
      <c r="G374" s="17"/>
    </row>
    <row r="375" spans="7:7" ht="15.75" customHeight="1">
      <c r="G375" s="17"/>
    </row>
    <row r="376" spans="7:7" ht="15.75" customHeight="1">
      <c r="G376" s="17"/>
    </row>
    <row r="377" spans="7:7" ht="15.75" customHeight="1">
      <c r="G377" s="17"/>
    </row>
    <row r="378" spans="7:7" ht="15.75" customHeight="1">
      <c r="G378" s="17"/>
    </row>
    <row r="379" spans="7:7" ht="15.75" customHeight="1">
      <c r="G379" s="17"/>
    </row>
    <row r="380" spans="7:7" ht="15.75" customHeight="1">
      <c r="G380" s="17"/>
    </row>
    <row r="381" spans="7:7" ht="15.75" customHeight="1">
      <c r="G381" s="17"/>
    </row>
    <row r="382" spans="7:7" ht="15.75" customHeight="1">
      <c r="G382" s="17"/>
    </row>
    <row r="383" spans="7:7" ht="15.75" customHeight="1">
      <c r="G383" s="17"/>
    </row>
    <row r="384" spans="7:7" ht="15.75" customHeight="1">
      <c r="G384" s="17"/>
    </row>
    <row r="385" spans="7:7" ht="15.75" customHeight="1">
      <c r="G385" s="17"/>
    </row>
    <row r="386" spans="7:7" ht="15.75" customHeight="1">
      <c r="G386" s="17"/>
    </row>
    <row r="387" spans="7:7" ht="15.75" customHeight="1">
      <c r="G387" s="17"/>
    </row>
    <row r="388" spans="7:7" ht="15.75" customHeight="1">
      <c r="G388" s="17"/>
    </row>
    <row r="389" spans="7:7" ht="15.75" customHeight="1">
      <c r="G389" s="17"/>
    </row>
    <row r="390" spans="7:7" ht="15.75" customHeight="1">
      <c r="G390" s="17"/>
    </row>
    <row r="391" spans="7:7" ht="15.75" customHeight="1">
      <c r="G391" s="17"/>
    </row>
    <row r="392" spans="7:7" ht="15.75" customHeight="1">
      <c r="G392" s="17"/>
    </row>
    <row r="393" spans="7:7" ht="15.75" customHeight="1">
      <c r="G393" s="17"/>
    </row>
    <row r="394" spans="7:7" ht="15.75" customHeight="1">
      <c r="G394" s="17"/>
    </row>
    <row r="395" spans="7:7" ht="15.75" customHeight="1">
      <c r="G395" s="17"/>
    </row>
    <row r="396" spans="7:7" ht="15.75" customHeight="1">
      <c r="G396" s="17"/>
    </row>
    <row r="397" spans="7:7" ht="15.75" customHeight="1">
      <c r="G397" s="17"/>
    </row>
    <row r="398" spans="7:7" ht="15.75" customHeight="1">
      <c r="G398" s="17"/>
    </row>
    <row r="399" spans="7:7" ht="15.75" customHeight="1">
      <c r="G399" s="17"/>
    </row>
    <row r="400" spans="7:7" ht="15.75" customHeight="1">
      <c r="G400" s="17"/>
    </row>
    <row r="401" spans="7:7" ht="15.75" customHeight="1">
      <c r="G401" s="17"/>
    </row>
    <row r="402" spans="7:7" ht="15.75" customHeight="1">
      <c r="G402" s="17"/>
    </row>
    <row r="403" spans="7:7" ht="15.75" customHeight="1">
      <c r="G403" s="17"/>
    </row>
    <row r="404" spans="7:7" ht="15.75" customHeight="1">
      <c r="G404" s="17"/>
    </row>
    <row r="405" spans="7:7" ht="15.75" customHeight="1">
      <c r="G405" s="17"/>
    </row>
    <row r="406" spans="7:7" ht="15.75" customHeight="1">
      <c r="G406" s="17"/>
    </row>
    <row r="407" spans="7:7" ht="15.75" customHeight="1">
      <c r="G407" s="17"/>
    </row>
    <row r="408" spans="7:7" ht="15.75" customHeight="1">
      <c r="G408" s="17"/>
    </row>
    <row r="409" spans="7:7" ht="15.75" customHeight="1">
      <c r="G409" s="17"/>
    </row>
    <row r="410" spans="7:7" ht="15.75" customHeight="1">
      <c r="G410" s="17"/>
    </row>
    <row r="411" spans="7:7" ht="15.75" customHeight="1">
      <c r="G411" s="17"/>
    </row>
    <row r="412" spans="7:7" ht="15.75" customHeight="1">
      <c r="G412" s="17"/>
    </row>
    <row r="413" spans="7:7" ht="15.75" customHeight="1">
      <c r="G413" s="17"/>
    </row>
    <row r="414" spans="7:7" ht="15.75" customHeight="1">
      <c r="G414" s="17"/>
    </row>
    <row r="415" spans="7:7" ht="15.75" customHeight="1">
      <c r="G415" s="17"/>
    </row>
    <row r="416" spans="7:7" ht="15.75" customHeight="1">
      <c r="G416" s="17"/>
    </row>
    <row r="417" spans="7:7" ht="15.75" customHeight="1">
      <c r="G417" s="17"/>
    </row>
    <row r="418" spans="7:7" ht="15.75" customHeight="1">
      <c r="G418" s="17"/>
    </row>
    <row r="419" spans="7:7" ht="15.75" customHeight="1">
      <c r="G419" s="17"/>
    </row>
    <row r="420" spans="7:7" ht="15.75" customHeight="1">
      <c r="G420" s="17"/>
    </row>
    <row r="421" spans="7:7" ht="15.75" customHeight="1">
      <c r="G421" s="17"/>
    </row>
    <row r="422" spans="7:7" ht="15.75" customHeight="1">
      <c r="G422" s="17"/>
    </row>
    <row r="423" spans="7:7" ht="15.75" customHeight="1">
      <c r="G423" s="17"/>
    </row>
    <row r="424" spans="7:7" ht="15.75" customHeight="1">
      <c r="G424" s="17"/>
    </row>
    <row r="425" spans="7:7" ht="15.75" customHeight="1">
      <c r="G425" s="17"/>
    </row>
    <row r="426" spans="7:7" ht="15.75" customHeight="1">
      <c r="G426" s="17"/>
    </row>
    <row r="427" spans="7:7" ht="15.75" customHeight="1">
      <c r="G427" s="17"/>
    </row>
    <row r="428" spans="7:7" ht="15.75" customHeight="1">
      <c r="G428" s="17"/>
    </row>
    <row r="429" spans="7:7" ht="15.75" customHeight="1">
      <c r="G429" s="17"/>
    </row>
    <row r="430" spans="7:7" ht="15.75" customHeight="1">
      <c r="G430" s="17"/>
    </row>
    <row r="431" spans="7:7" ht="15.75" customHeight="1">
      <c r="G431" s="17"/>
    </row>
    <row r="432" spans="7:7" ht="15.75" customHeight="1">
      <c r="G432" s="17"/>
    </row>
    <row r="433" spans="7:7" ht="15.75" customHeight="1">
      <c r="G433" s="17"/>
    </row>
    <row r="434" spans="7:7" ht="15.75" customHeight="1">
      <c r="G434" s="17"/>
    </row>
    <row r="435" spans="7:7" ht="15.75" customHeight="1">
      <c r="G435" s="17"/>
    </row>
    <row r="436" spans="7:7" ht="15.75" customHeight="1">
      <c r="G436" s="17"/>
    </row>
    <row r="437" spans="7:7" ht="15.75" customHeight="1">
      <c r="G437" s="17"/>
    </row>
    <row r="438" spans="7:7" ht="15.75" customHeight="1">
      <c r="G438" s="17"/>
    </row>
    <row r="439" spans="7:7" ht="15.75" customHeight="1">
      <c r="G439" s="17"/>
    </row>
    <row r="440" spans="7:7" ht="15.75" customHeight="1">
      <c r="G440" s="17"/>
    </row>
    <row r="441" spans="7:7" ht="15.75" customHeight="1">
      <c r="G441" s="17"/>
    </row>
    <row r="442" spans="7:7" ht="15.75" customHeight="1">
      <c r="G442" s="17"/>
    </row>
    <row r="443" spans="7:7" ht="15.75" customHeight="1">
      <c r="G443" s="17"/>
    </row>
    <row r="444" spans="7:7" ht="15.75" customHeight="1">
      <c r="G444" s="17"/>
    </row>
    <row r="445" spans="7:7" ht="15.75" customHeight="1">
      <c r="G445" s="17"/>
    </row>
    <row r="446" spans="7:7" ht="15.75" customHeight="1">
      <c r="G446" s="17"/>
    </row>
    <row r="447" spans="7:7" ht="15.75" customHeight="1">
      <c r="G447" s="17"/>
    </row>
    <row r="448" spans="7:7" ht="15.75" customHeight="1">
      <c r="G448" s="17"/>
    </row>
    <row r="449" spans="7:7" ht="15.75" customHeight="1">
      <c r="G449" s="17"/>
    </row>
    <row r="450" spans="7:7" ht="15.75" customHeight="1">
      <c r="G450" s="17"/>
    </row>
    <row r="451" spans="7:7" ht="15.75" customHeight="1">
      <c r="G451" s="17"/>
    </row>
    <row r="452" spans="7:7" ht="15.75" customHeight="1">
      <c r="G452" s="17"/>
    </row>
    <row r="453" spans="7:7" ht="15.75" customHeight="1">
      <c r="G453" s="17"/>
    </row>
    <row r="454" spans="7:7" ht="15.75" customHeight="1">
      <c r="G454" s="17"/>
    </row>
    <row r="455" spans="7:7" ht="15.75" customHeight="1">
      <c r="G455" s="17"/>
    </row>
    <row r="456" spans="7:7" ht="15.75" customHeight="1">
      <c r="G456" s="17"/>
    </row>
    <row r="457" spans="7:7" ht="15.75" customHeight="1">
      <c r="G457" s="17"/>
    </row>
    <row r="458" spans="7:7" ht="15.75" customHeight="1">
      <c r="G458" s="17"/>
    </row>
    <row r="459" spans="7:7" ht="15.75" customHeight="1">
      <c r="G459" s="17"/>
    </row>
    <row r="460" spans="7:7" ht="15.75" customHeight="1">
      <c r="G460" s="17"/>
    </row>
    <row r="461" spans="7:7" ht="15.75" customHeight="1">
      <c r="G461" s="17"/>
    </row>
    <row r="462" spans="7:7" ht="15.75" customHeight="1">
      <c r="G462" s="17"/>
    </row>
    <row r="463" spans="7:7" ht="15.75" customHeight="1">
      <c r="G463" s="17"/>
    </row>
    <row r="464" spans="7:7" ht="15.75" customHeight="1">
      <c r="G464" s="17"/>
    </row>
    <row r="465" spans="7:7" ht="15.75" customHeight="1">
      <c r="G465" s="17"/>
    </row>
    <row r="466" spans="7:7" ht="15.75" customHeight="1">
      <c r="G466" s="17"/>
    </row>
    <row r="467" spans="7:7" ht="15.75" customHeight="1">
      <c r="G467" s="17"/>
    </row>
    <row r="468" spans="7:7" ht="15.75" customHeight="1">
      <c r="G468" s="17"/>
    </row>
    <row r="469" spans="7:7" ht="15.75" customHeight="1">
      <c r="G469" s="17"/>
    </row>
    <row r="470" spans="7:7" ht="15.75" customHeight="1">
      <c r="G470" s="17"/>
    </row>
    <row r="471" spans="7:7" ht="15.75" customHeight="1">
      <c r="G471" s="17"/>
    </row>
    <row r="472" spans="7:7" ht="15.75" customHeight="1">
      <c r="G472" s="17"/>
    </row>
    <row r="473" spans="7:7" ht="15.75" customHeight="1">
      <c r="G473" s="17"/>
    </row>
    <row r="474" spans="7:7" ht="15.75" customHeight="1">
      <c r="G474" s="17"/>
    </row>
    <row r="475" spans="7:7" ht="15.75" customHeight="1">
      <c r="G475" s="17"/>
    </row>
    <row r="476" spans="7:7" ht="15.75" customHeight="1">
      <c r="G476" s="17"/>
    </row>
    <row r="477" spans="7:7" ht="15.75" customHeight="1">
      <c r="G477" s="17"/>
    </row>
    <row r="478" spans="7:7" ht="15.75" customHeight="1">
      <c r="G478" s="17"/>
    </row>
    <row r="479" spans="7:7" ht="15.75" customHeight="1">
      <c r="G479" s="17"/>
    </row>
    <row r="480" spans="7:7" ht="15.75" customHeight="1">
      <c r="G480" s="17"/>
    </row>
    <row r="481" spans="7:7" ht="15.75" customHeight="1">
      <c r="G481" s="17"/>
    </row>
    <row r="482" spans="7:7" ht="15.75" customHeight="1">
      <c r="G482" s="17"/>
    </row>
    <row r="483" spans="7:7" ht="15.75" customHeight="1">
      <c r="G483" s="17"/>
    </row>
    <row r="484" spans="7:7" ht="15.75" customHeight="1">
      <c r="G484" s="17"/>
    </row>
    <row r="485" spans="7:7" ht="15.75" customHeight="1">
      <c r="G485" s="17"/>
    </row>
    <row r="486" spans="7:7" ht="15.75" customHeight="1">
      <c r="G486" s="17"/>
    </row>
    <row r="487" spans="7:7" ht="15.75" customHeight="1">
      <c r="G487" s="17"/>
    </row>
    <row r="488" spans="7:7" ht="15.75" customHeight="1">
      <c r="G488" s="17"/>
    </row>
    <row r="489" spans="7:7" ht="15.75" customHeight="1">
      <c r="G489" s="17"/>
    </row>
    <row r="490" spans="7:7" ht="15.75" customHeight="1">
      <c r="G490" s="17"/>
    </row>
    <row r="491" spans="7:7" ht="15.75" customHeight="1">
      <c r="G491" s="17"/>
    </row>
    <row r="492" spans="7:7" ht="15.75" customHeight="1">
      <c r="G492" s="17"/>
    </row>
    <row r="493" spans="7:7" ht="15.75" customHeight="1">
      <c r="G493" s="17"/>
    </row>
    <row r="494" spans="7:7" ht="15.75" customHeight="1">
      <c r="G494" s="17"/>
    </row>
    <row r="495" spans="7:7" ht="15.75" customHeight="1">
      <c r="G495" s="17"/>
    </row>
    <row r="496" spans="7:7" ht="15.75" customHeight="1">
      <c r="G496" s="17"/>
    </row>
    <row r="497" spans="7:7" ht="15.75" customHeight="1">
      <c r="G497" s="17"/>
    </row>
    <row r="498" spans="7:7" ht="15.75" customHeight="1">
      <c r="G498" s="17"/>
    </row>
    <row r="499" spans="7:7" ht="15.75" customHeight="1">
      <c r="G499" s="17"/>
    </row>
    <row r="500" spans="7:7" ht="15.75" customHeight="1">
      <c r="G500" s="17"/>
    </row>
    <row r="501" spans="7:7" ht="15.75" customHeight="1">
      <c r="G501" s="17"/>
    </row>
    <row r="502" spans="7:7" ht="15.75" customHeight="1">
      <c r="G502" s="17"/>
    </row>
    <row r="503" spans="7:7" ht="15.75" customHeight="1">
      <c r="G503" s="17"/>
    </row>
    <row r="504" spans="7:7" ht="15.75" customHeight="1">
      <c r="G504" s="17"/>
    </row>
    <row r="505" spans="7:7" ht="15.75" customHeight="1">
      <c r="G505" s="17"/>
    </row>
    <row r="506" spans="7:7" ht="15.75" customHeight="1">
      <c r="G506" s="17"/>
    </row>
    <row r="507" spans="7:7" ht="15.75" customHeight="1">
      <c r="G507" s="17"/>
    </row>
    <row r="508" spans="7:7" ht="15.75" customHeight="1">
      <c r="G508" s="17"/>
    </row>
    <row r="509" spans="7:7" ht="15.75" customHeight="1">
      <c r="G509" s="17"/>
    </row>
    <row r="510" spans="7:7" ht="15.75" customHeight="1">
      <c r="G510" s="17"/>
    </row>
    <row r="511" spans="7:7" ht="15.75" customHeight="1">
      <c r="G511" s="17"/>
    </row>
    <row r="512" spans="7:7" ht="15.75" customHeight="1">
      <c r="G512" s="17"/>
    </row>
    <row r="513" spans="7:7" ht="15.75" customHeight="1">
      <c r="G513" s="17"/>
    </row>
    <row r="514" spans="7:7" ht="15.75" customHeight="1">
      <c r="G514" s="17"/>
    </row>
    <row r="515" spans="7:7" ht="15.75" customHeight="1">
      <c r="G515" s="17"/>
    </row>
    <row r="516" spans="7:7" ht="15.75" customHeight="1">
      <c r="G516" s="17"/>
    </row>
    <row r="517" spans="7:7" ht="15.75" customHeight="1">
      <c r="G517" s="17"/>
    </row>
    <row r="518" spans="7:7" ht="15.75" customHeight="1">
      <c r="G518" s="17"/>
    </row>
    <row r="519" spans="7:7" ht="15.75" customHeight="1">
      <c r="G519" s="17"/>
    </row>
    <row r="520" spans="7:7" ht="15.75" customHeight="1">
      <c r="G520" s="17"/>
    </row>
    <row r="521" spans="7:7" ht="15.75" customHeight="1">
      <c r="G521" s="17"/>
    </row>
    <row r="522" spans="7:7" ht="15.75" customHeight="1">
      <c r="G522" s="17"/>
    </row>
    <row r="523" spans="7:7" ht="15.75" customHeight="1">
      <c r="G523" s="17"/>
    </row>
    <row r="524" spans="7:7" ht="15.75" customHeight="1">
      <c r="G524" s="17"/>
    </row>
    <row r="525" spans="7:7" ht="15.75" customHeight="1">
      <c r="G525" s="17"/>
    </row>
    <row r="526" spans="7:7" ht="15.75" customHeight="1">
      <c r="G526" s="17"/>
    </row>
    <row r="527" spans="7:7" ht="15.75" customHeight="1">
      <c r="G527" s="17"/>
    </row>
    <row r="528" spans="7:7" ht="15.75" customHeight="1">
      <c r="G528" s="17"/>
    </row>
    <row r="529" spans="7:7" ht="15.75" customHeight="1">
      <c r="G529" s="17"/>
    </row>
    <row r="530" spans="7:7" ht="15.75" customHeight="1">
      <c r="G530" s="17"/>
    </row>
    <row r="531" spans="7:7" ht="15.75" customHeight="1">
      <c r="G531" s="17"/>
    </row>
    <row r="532" spans="7:7" ht="15.75" customHeight="1">
      <c r="G532" s="17"/>
    </row>
    <row r="533" spans="7:7" ht="15.75" customHeight="1">
      <c r="G533" s="17"/>
    </row>
    <row r="534" spans="7:7" ht="15.75" customHeight="1">
      <c r="G534" s="17"/>
    </row>
    <row r="535" spans="7:7" ht="15.75" customHeight="1">
      <c r="G535" s="17"/>
    </row>
    <row r="536" spans="7:7" ht="15.75" customHeight="1">
      <c r="G536" s="17"/>
    </row>
    <row r="537" spans="7:7" ht="15.75" customHeight="1">
      <c r="G537" s="17"/>
    </row>
    <row r="538" spans="7:7" ht="15.75" customHeight="1">
      <c r="G538" s="17"/>
    </row>
    <row r="539" spans="7:7" ht="15.75" customHeight="1">
      <c r="G539" s="17"/>
    </row>
    <row r="540" spans="7:7" ht="15.75" customHeight="1">
      <c r="G540" s="17"/>
    </row>
    <row r="541" spans="7:7" ht="15.75" customHeight="1">
      <c r="G541" s="17"/>
    </row>
    <row r="542" spans="7:7" ht="15.75" customHeight="1">
      <c r="G542" s="17"/>
    </row>
    <row r="543" spans="7:7" ht="15.75" customHeight="1">
      <c r="G543" s="17"/>
    </row>
    <row r="544" spans="7:7" ht="15.75" customHeight="1">
      <c r="G544" s="17"/>
    </row>
    <row r="545" spans="7:7" ht="15.75" customHeight="1">
      <c r="G545" s="17"/>
    </row>
    <row r="546" spans="7:7" ht="15.75" customHeight="1">
      <c r="G546" s="17"/>
    </row>
    <row r="547" spans="7:7" ht="15.75" customHeight="1">
      <c r="G547" s="17"/>
    </row>
    <row r="548" spans="7:7" ht="15.75" customHeight="1">
      <c r="G548" s="17"/>
    </row>
    <row r="549" spans="7:7" ht="15.75" customHeight="1">
      <c r="G549" s="17"/>
    </row>
    <row r="550" spans="7:7" ht="15.75" customHeight="1">
      <c r="G550" s="17"/>
    </row>
    <row r="551" spans="7:7" ht="15.75" customHeight="1">
      <c r="G551" s="17"/>
    </row>
    <row r="552" spans="7:7" ht="15.75" customHeight="1">
      <c r="G552" s="17"/>
    </row>
    <row r="553" spans="7:7" ht="15.75" customHeight="1">
      <c r="G553" s="17"/>
    </row>
    <row r="554" spans="7:7" ht="15.75" customHeight="1">
      <c r="G554" s="17"/>
    </row>
    <row r="555" spans="7:7" ht="15.75" customHeight="1">
      <c r="G555" s="17"/>
    </row>
    <row r="556" spans="7:7" ht="15.75" customHeight="1">
      <c r="G556" s="17"/>
    </row>
    <row r="557" spans="7:7" ht="15.75" customHeight="1">
      <c r="G557" s="17"/>
    </row>
    <row r="558" spans="7:7" ht="15.75" customHeight="1">
      <c r="G558" s="17"/>
    </row>
    <row r="559" spans="7:7" ht="15.75" customHeight="1">
      <c r="G559" s="17"/>
    </row>
    <row r="560" spans="7:7" ht="15.75" customHeight="1">
      <c r="G560" s="17"/>
    </row>
    <row r="561" spans="7:7" ht="15.75" customHeight="1">
      <c r="G561" s="17"/>
    </row>
    <row r="562" spans="7:7" ht="15.75" customHeight="1">
      <c r="G562" s="17"/>
    </row>
    <row r="563" spans="7:7" ht="15.75" customHeight="1">
      <c r="G563" s="17"/>
    </row>
    <row r="564" spans="7:7" ht="15.75" customHeight="1">
      <c r="G564" s="17"/>
    </row>
    <row r="565" spans="7:7" ht="15.75" customHeight="1">
      <c r="G565" s="17"/>
    </row>
    <row r="566" spans="7:7" ht="15.75" customHeight="1">
      <c r="G566" s="17"/>
    </row>
    <row r="567" spans="7:7" ht="15.75" customHeight="1">
      <c r="G567" s="17"/>
    </row>
    <row r="568" spans="7:7" ht="15.75" customHeight="1">
      <c r="G568" s="17"/>
    </row>
    <row r="569" spans="7:7" ht="15.75" customHeight="1">
      <c r="G569" s="17"/>
    </row>
    <row r="570" spans="7:7" ht="15.75" customHeight="1">
      <c r="G570" s="17"/>
    </row>
    <row r="571" spans="7:7" ht="15.75" customHeight="1">
      <c r="G571" s="17"/>
    </row>
    <row r="572" spans="7:7" ht="15.75" customHeight="1">
      <c r="G572" s="17"/>
    </row>
    <row r="573" spans="7:7" ht="15.75" customHeight="1">
      <c r="G573" s="17"/>
    </row>
    <row r="574" spans="7:7" ht="15.75" customHeight="1">
      <c r="G574" s="17"/>
    </row>
    <row r="575" spans="7:7" ht="15.75" customHeight="1">
      <c r="G575" s="17"/>
    </row>
    <row r="576" spans="7:7" ht="15.75" customHeight="1">
      <c r="G576" s="17"/>
    </row>
    <row r="577" spans="7:7" ht="15.75" customHeight="1">
      <c r="G577" s="17"/>
    </row>
    <row r="578" spans="7:7" ht="15.75" customHeight="1">
      <c r="G578" s="17"/>
    </row>
    <row r="579" spans="7:7" ht="15.75" customHeight="1">
      <c r="G579" s="17"/>
    </row>
    <row r="580" spans="7:7" ht="15.75" customHeight="1">
      <c r="G580" s="17"/>
    </row>
    <row r="581" spans="7:7" ht="15.75" customHeight="1">
      <c r="G581" s="17"/>
    </row>
    <row r="582" spans="7:7" ht="15.75" customHeight="1">
      <c r="G582" s="17"/>
    </row>
    <row r="583" spans="7:7" ht="15.75" customHeight="1">
      <c r="G583" s="17"/>
    </row>
    <row r="584" spans="7:7" ht="15.75" customHeight="1">
      <c r="G584" s="17"/>
    </row>
    <row r="585" spans="7:7" ht="15.75" customHeight="1">
      <c r="G585" s="17"/>
    </row>
    <row r="586" spans="7:7" ht="15.75" customHeight="1">
      <c r="G586" s="17"/>
    </row>
    <row r="587" spans="7:7" ht="15.75" customHeight="1">
      <c r="G587" s="17"/>
    </row>
    <row r="588" spans="7:7" ht="15.75" customHeight="1">
      <c r="G588" s="17"/>
    </row>
    <row r="589" spans="7:7" ht="15.75" customHeight="1">
      <c r="G589" s="17"/>
    </row>
    <row r="590" spans="7:7" ht="15.75" customHeight="1">
      <c r="G590" s="17"/>
    </row>
    <row r="591" spans="7:7" ht="15.75" customHeight="1">
      <c r="G591" s="17"/>
    </row>
    <row r="592" spans="7:7" ht="15.75" customHeight="1">
      <c r="G592" s="17"/>
    </row>
    <row r="593" spans="7:7" ht="15.75" customHeight="1">
      <c r="G593" s="17"/>
    </row>
    <row r="594" spans="7:7" ht="15.75" customHeight="1">
      <c r="G594" s="17"/>
    </row>
    <row r="595" spans="7:7" ht="15.75" customHeight="1">
      <c r="G595" s="17"/>
    </row>
    <row r="596" spans="7:7" ht="15.75" customHeight="1">
      <c r="G596" s="17"/>
    </row>
    <row r="597" spans="7:7" ht="15.75" customHeight="1">
      <c r="G597" s="17"/>
    </row>
    <row r="598" spans="7:7" ht="15.75" customHeight="1">
      <c r="G598" s="17"/>
    </row>
    <row r="599" spans="7:7" ht="15.75" customHeight="1">
      <c r="G599" s="17"/>
    </row>
    <row r="600" spans="7:7" ht="15.75" customHeight="1">
      <c r="G600" s="17"/>
    </row>
    <row r="601" spans="7:7" ht="15.75" customHeight="1">
      <c r="G601" s="17"/>
    </row>
    <row r="602" spans="7:7" ht="15.75" customHeight="1">
      <c r="G602" s="17"/>
    </row>
    <row r="603" spans="7:7" ht="15.75" customHeight="1">
      <c r="G603" s="17"/>
    </row>
    <row r="604" spans="7:7" ht="15.75" customHeight="1">
      <c r="G604" s="17"/>
    </row>
    <row r="605" spans="7:7" ht="15.75" customHeight="1">
      <c r="G605" s="17"/>
    </row>
    <row r="606" spans="7:7" ht="15.75" customHeight="1">
      <c r="G606" s="17"/>
    </row>
    <row r="607" spans="7:7" ht="15.75" customHeight="1">
      <c r="G607" s="17"/>
    </row>
    <row r="608" spans="7:7" ht="15.75" customHeight="1">
      <c r="G608" s="17"/>
    </row>
    <row r="609" spans="7:7" ht="15.75" customHeight="1">
      <c r="G609" s="17"/>
    </row>
    <row r="610" spans="7:7" ht="15.75" customHeight="1">
      <c r="G610" s="17"/>
    </row>
    <row r="611" spans="7:7" ht="15.75" customHeight="1">
      <c r="G611" s="17"/>
    </row>
    <row r="612" spans="7:7" ht="15.75" customHeight="1">
      <c r="G612" s="17"/>
    </row>
    <row r="613" spans="7:7" ht="15.75" customHeight="1">
      <c r="G613" s="17"/>
    </row>
    <row r="614" spans="7:7" ht="15.75" customHeight="1">
      <c r="G614" s="17"/>
    </row>
    <row r="615" spans="7:7" ht="15.75" customHeight="1">
      <c r="G615" s="17"/>
    </row>
    <row r="616" spans="7:7" ht="15.75" customHeight="1">
      <c r="G616" s="17"/>
    </row>
    <row r="617" spans="7:7" ht="15.75" customHeight="1">
      <c r="G617" s="17"/>
    </row>
    <row r="618" spans="7:7" ht="15.75" customHeight="1">
      <c r="G618" s="17"/>
    </row>
    <row r="619" spans="7:7" ht="15.75" customHeight="1">
      <c r="G619" s="17"/>
    </row>
    <row r="620" spans="7:7" ht="15.75" customHeight="1">
      <c r="G620" s="17"/>
    </row>
    <row r="621" spans="7:7" ht="15.75" customHeight="1">
      <c r="G621" s="17"/>
    </row>
    <row r="622" spans="7:7" ht="15.75" customHeight="1">
      <c r="G622" s="17"/>
    </row>
    <row r="623" spans="7:7" ht="15.75" customHeight="1">
      <c r="G623" s="17"/>
    </row>
    <row r="624" spans="7:7" ht="15.75" customHeight="1">
      <c r="G624" s="17"/>
    </row>
    <row r="625" spans="7:7" ht="15.75" customHeight="1">
      <c r="G625" s="17"/>
    </row>
    <row r="626" spans="7:7" ht="15.75" customHeight="1">
      <c r="G626" s="17"/>
    </row>
    <row r="627" spans="7:7" ht="15.75" customHeight="1">
      <c r="G627" s="17"/>
    </row>
    <row r="628" spans="7:7" ht="15.75" customHeight="1">
      <c r="G628" s="17"/>
    </row>
    <row r="629" spans="7:7" ht="15.75" customHeight="1">
      <c r="G629" s="17"/>
    </row>
    <row r="630" spans="7:7" ht="15.75" customHeight="1">
      <c r="G630" s="17"/>
    </row>
    <row r="631" spans="7:7" ht="15.75" customHeight="1">
      <c r="G631" s="17"/>
    </row>
    <row r="632" spans="7:7" ht="15.75" customHeight="1">
      <c r="G632" s="17"/>
    </row>
    <row r="633" spans="7:7" ht="15.75" customHeight="1">
      <c r="G633" s="17"/>
    </row>
    <row r="634" spans="7:7" ht="15.75" customHeight="1">
      <c r="G634" s="17"/>
    </row>
    <row r="635" spans="7:7" ht="15.75" customHeight="1">
      <c r="G635" s="17"/>
    </row>
    <row r="636" spans="7:7" ht="15.75" customHeight="1">
      <c r="G636" s="17"/>
    </row>
    <row r="637" spans="7:7" ht="15.75" customHeight="1">
      <c r="G637" s="17"/>
    </row>
    <row r="638" spans="7:7" ht="15.75" customHeight="1">
      <c r="G638" s="17"/>
    </row>
    <row r="639" spans="7:7" ht="15.75" customHeight="1">
      <c r="G639" s="17"/>
    </row>
    <row r="640" spans="7:7" ht="15.75" customHeight="1">
      <c r="G640" s="17"/>
    </row>
    <row r="641" spans="7:7" ht="15.75" customHeight="1">
      <c r="G641" s="17"/>
    </row>
    <row r="642" spans="7:7" ht="15.75" customHeight="1">
      <c r="G642" s="17"/>
    </row>
    <row r="643" spans="7:7" ht="15.75" customHeight="1">
      <c r="G643" s="17"/>
    </row>
    <row r="644" spans="7:7" ht="15.75" customHeight="1">
      <c r="G644" s="17"/>
    </row>
    <row r="645" spans="7:7" ht="15.75" customHeight="1">
      <c r="G645" s="17"/>
    </row>
    <row r="646" spans="7:7" ht="15.75" customHeight="1">
      <c r="G646" s="17"/>
    </row>
    <row r="647" spans="7:7" ht="15.75" customHeight="1">
      <c r="G647" s="17"/>
    </row>
    <row r="648" spans="7:7" ht="15.75" customHeight="1">
      <c r="G648" s="17"/>
    </row>
    <row r="649" spans="7:7" ht="15.75" customHeight="1">
      <c r="G649" s="17"/>
    </row>
    <row r="650" spans="7:7" ht="15.75" customHeight="1">
      <c r="G650" s="17"/>
    </row>
    <row r="651" spans="7:7" ht="15.75" customHeight="1">
      <c r="G651" s="17"/>
    </row>
    <row r="652" spans="7:7" ht="15.75" customHeight="1">
      <c r="G652" s="17"/>
    </row>
    <row r="653" spans="7:7" ht="15.75" customHeight="1">
      <c r="G653" s="17"/>
    </row>
    <row r="654" spans="7:7" ht="15.75" customHeight="1">
      <c r="G654" s="17"/>
    </row>
    <row r="655" spans="7:7" ht="15.75" customHeight="1">
      <c r="G655" s="17"/>
    </row>
    <row r="656" spans="7:7" ht="15.75" customHeight="1">
      <c r="G656" s="17"/>
    </row>
    <row r="657" spans="7:7" ht="15.75" customHeight="1">
      <c r="G657" s="17"/>
    </row>
    <row r="658" spans="7:7" ht="15.75" customHeight="1">
      <c r="G658" s="17"/>
    </row>
    <row r="659" spans="7:7" ht="15.75" customHeight="1">
      <c r="G659" s="17"/>
    </row>
    <row r="660" spans="7:7" ht="15.75" customHeight="1">
      <c r="G660" s="17"/>
    </row>
    <row r="661" spans="7:7" ht="15.75" customHeight="1">
      <c r="G661" s="17"/>
    </row>
    <row r="662" spans="7:7" ht="15.75" customHeight="1">
      <c r="G662" s="17"/>
    </row>
    <row r="663" spans="7:7" ht="15.75" customHeight="1">
      <c r="G663" s="17"/>
    </row>
    <row r="664" spans="7:7" ht="15.75" customHeight="1">
      <c r="G664" s="17"/>
    </row>
    <row r="665" spans="7:7" ht="15.75" customHeight="1">
      <c r="G665" s="17"/>
    </row>
    <row r="666" spans="7:7" ht="15.75" customHeight="1">
      <c r="G666" s="17"/>
    </row>
    <row r="667" spans="7:7" ht="15.75" customHeight="1">
      <c r="G667" s="17"/>
    </row>
    <row r="668" spans="7:7" ht="15.75" customHeight="1">
      <c r="G668" s="17"/>
    </row>
    <row r="669" spans="7:7" ht="15.75" customHeight="1">
      <c r="G669" s="17"/>
    </row>
    <row r="670" spans="7:7" ht="15.75" customHeight="1">
      <c r="G670" s="17"/>
    </row>
    <row r="671" spans="7:7" ht="15.75" customHeight="1">
      <c r="G671" s="17"/>
    </row>
    <row r="672" spans="7:7" ht="15.75" customHeight="1">
      <c r="G672" s="17"/>
    </row>
    <row r="673" spans="7:7" ht="15.75" customHeight="1">
      <c r="G673" s="17"/>
    </row>
    <row r="674" spans="7:7" ht="15.75" customHeight="1">
      <c r="G674" s="17"/>
    </row>
    <row r="675" spans="7:7" ht="15.75" customHeight="1">
      <c r="G675" s="17"/>
    </row>
    <row r="676" spans="7:7" ht="15.75" customHeight="1">
      <c r="G676" s="17"/>
    </row>
    <row r="677" spans="7:7" ht="15.75" customHeight="1">
      <c r="G677" s="17"/>
    </row>
    <row r="678" spans="7:7" ht="15.75" customHeight="1">
      <c r="G678" s="17"/>
    </row>
    <row r="679" spans="7:7" ht="15.75" customHeight="1">
      <c r="G679" s="17"/>
    </row>
    <row r="680" spans="7:7" ht="15.75" customHeight="1">
      <c r="G680" s="17"/>
    </row>
    <row r="681" spans="7:7" ht="15.75" customHeight="1">
      <c r="G681" s="17"/>
    </row>
    <row r="682" spans="7:7" ht="15.75" customHeight="1">
      <c r="G682" s="17"/>
    </row>
    <row r="683" spans="7:7" ht="15.75" customHeight="1">
      <c r="G683" s="17"/>
    </row>
    <row r="684" spans="7:7" ht="15.75" customHeight="1">
      <c r="G684" s="17"/>
    </row>
    <row r="685" spans="7:7" ht="15.75" customHeight="1">
      <c r="G685" s="17"/>
    </row>
    <row r="686" spans="7:7" ht="15.75" customHeight="1">
      <c r="G686" s="17"/>
    </row>
    <row r="687" spans="7:7" ht="15.75" customHeight="1">
      <c r="G687" s="17"/>
    </row>
    <row r="688" spans="7:7" ht="15.75" customHeight="1">
      <c r="G688" s="17"/>
    </row>
    <row r="689" spans="7:7" ht="15.75" customHeight="1">
      <c r="G689" s="17"/>
    </row>
    <row r="690" spans="7:7" ht="15.75" customHeight="1">
      <c r="G690" s="17"/>
    </row>
    <row r="691" spans="7:7" ht="15.75" customHeight="1">
      <c r="G691" s="17"/>
    </row>
    <row r="692" spans="7:7" ht="15.75" customHeight="1">
      <c r="G692" s="17"/>
    </row>
    <row r="693" spans="7:7" ht="15.75" customHeight="1">
      <c r="G693" s="17"/>
    </row>
    <row r="694" spans="7:7" ht="15.75" customHeight="1">
      <c r="G694" s="17"/>
    </row>
    <row r="695" spans="7:7" ht="15.75" customHeight="1">
      <c r="G695" s="17"/>
    </row>
    <row r="696" spans="7:7" ht="15.75" customHeight="1">
      <c r="G696" s="17"/>
    </row>
    <row r="697" spans="7:7" ht="15.75" customHeight="1">
      <c r="G697" s="17"/>
    </row>
    <row r="698" spans="7:7" ht="15.75" customHeight="1">
      <c r="G698" s="17"/>
    </row>
    <row r="699" spans="7:7" ht="15.75" customHeight="1">
      <c r="G699" s="17"/>
    </row>
    <row r="700" spans="7:7" ht="15.75" customHeight="1">
      <c r="G700" s="17"/>
    </row>
    <row r="701" spans="7:7" ht="15.75" customHeight="1">
      <c r="G701" s="17"/>
    </row>
    <row r="702" spans="7:7" ht="15.75" customHeight="1">
      <c r="G702" s="17"/>
    </row>
    <row r="703" spans="7:7" ht="15.75" customHeight="1">
      <c r="G703" s="17"/>
    </row>
    <row r="704" spans="7:7" ht="15.75" customHeight="1">
      <c r="G704" s="17"/>
    </row>
    <row r="705" spans="7:7" ht="15.75" customHeight="1">
      <c r="G705" s="17"/>
    </row>
    <row r="706" spans="7:7" ht="15.75" customHeight="1">
      <c r="G706" s="17"/>
    </row>
    <row r="707" spans="7:7" ht="15.75" customHeight="1">
      <c r="G707" s="17"/>
    </row>
    <row r="708" spans="7:7" ht="15.75" customHeight="1">
      <c r="G708" s="17"/>
    </row>
    <row r="709" spans="7:7" ht="15.75" customHeight="1">
      <c r="G709" s="17"/>
    </row>
    <row r="710" spans="7:7" ht="15.75" customHeight="1">
      <c r="G710" s="17"/>
    </row>
    <row r="711" spans="7:7" ht="15.75" customHeight="1">
      <c r="G711" s="17"/>
    </row>
    <row r="712" spans="7:7" ht="15.75" customHeight="1">
      <c r="G712" s="17"/>
    </row>
    <row r="713" spans="7:7" ht="15.75" customHeight="1">
      <c r="G713" s="17"/>
    </row>
    <row r="714" spans="7:7" ht="15.75" customHeight="1">
      <c r="G714" s="17"/>
    </row>
    <row r="715" spans="7:7" ht="15.75" customHeight="1">
      <c r="G715" s="17"/>
    </row>
    <row r="716" spans="7:7" ht="15.75" customHeight="1">
      <c r="G716" s="17"/>
    </row>
    <row r="717" spans="7:7" ht="15.75" customHeight="1">
      <c r="G717" s="17"/>
    </row>
    <row r="718" spans="7:7" ht="15.75" customHeight="1">
      <c r="G718" s="17"/>
    </row>
    <row r="719" spans="7:7" ht="15.75" customHeight="1">
      <c r="G719" s="17"/>
    </row>
    <row r="720" spans="7:7" ht="15.75" customHeight="1">
      <c r="G720" s="17"/>
    </row>
    <row r="721" spans="7:7" ht="15.75" customHeight="1">
      <c r="G721" s="17"/>
    </row>
    <row r="722" spans="7:7" ht="15.75" customHeight="1">
      <c r="G722" s="17"/>
    </row>
    <row r="723" spans="7:7" ht="15.75" customHeight="1">
      <c r="G723" s="17"/>
    </row>
    <row r="724" spans="7:7" ht="15.75" customHeight="1">
      <c r="G724" s="17"/>
    </row>
    <row r="725" spans="7:7" ht="15.75" customHeight="1">
      <c r="G725" s="17"/>
    </row>
    <row r="726" spans="7:7" ht="15.75" customHeight="1">
      <c r="G726" s="17"/>
    </row>
    <row r="727" spans="7:7" ht="15.75" customHeight="1">
      <c r="G727" s="17"/>
    </row>
    <row r="728" spans="7:7" ht="15.75" customHeight="1">
      <c r="G728" s="17"/>
    </row>
    <row r="729" spans="7:7" ht="15.75" customHeight="1">
      <c r="G729" s="17"/>
    </row>
    <row r="730" spans="7:7" ht="15.75" customHeight="1">
      <c r="G730" s="17"/>
    </row>
    <row r="731" spans="7:7" ht="15.75" customHeight="1">
      <c r="G731" s="17"/>
    </row>
    <row r="732" spans="7:7" ht="15.75" customHeight="1">
      <c r="G732" s="17"/>
    </row>
    <row r="733" spans="7:7" ht="15.75" customHeight="1">
      <c r="G733" s="17"/>
    </row>
    <row r="734" spans="7:7" ht="15.75" customHeight="1">
      <c r="G734" s="17"/>
    </row>
    <row r="735" spans="7:7" ht="15.75" customHeight="1">
      <c r="G735" s="17"/>
    </row>
    <row r="736" spans="7:7" ht="15.75" customHeight="1">
      <c r="G736" s="17"/>
    </row>
    <row r="737" spans="7:7" ht="15.75" customHeight="1">
      <c r="G737" s="17"/>
    </row>
    <row r="738" spans="7:7" ht="15.75" customHeight="1">
      <c r="G738" s="17"/>
    </row>
    <row r="739" spans="7:7" ht="15.75" customHeight="1">
      <c r="G739" s="17"/>
    </row>
    <row r="740" spans="7:7" ht="15.75" customHeight="1">
      <c r="G740" s="17"/>
    </row>
    <row r="741" spans="7:7" ht="15.75" customHeight="1">
      <c r="G741" s="17"/>
    </row>
    <row r="742" spans="7:7" ht="15.75" customHeight="1">
      <c r="G742" s="17"/>
    </row>
    <row r="743" spans="7:7" ht="15.75" customHeight="1">
      <c r="G743" s="17"/>
    </row>
    <row r="744" spans="7:7" ht="15.75" customHeight="1">
      <c r="G744" s="17"/>
    </row>
    <row r="745" spans="7:7" ht="15.75" customHeight="1">
      <c r="G745" s="17"/>
    </row>
    <row r="746" spans="7:7" ht="15.75" customHeight="1">
      <c r="G746" s="17"/>
    </row>
    <row r="747" spans="7:7" ht="15.75" customHeight="1">
      <c r="G747" s="17"/>
    </row>
    <row r="748" spans="7:7" ht="15.75" customHeight="1">
      <c r="G748" s="17"/>
    </row>
    <row r="749" spans="7:7" ht="15.75" customHeight="1">
      <c r="G749" s="17"/>
    </row>
    <row r="750" spans="7:7" ht="15.75" customHeight="1">
      <c r="G750" s="17"/>
    </row>
    <row r="751" spans="7:7" ht="15.75" customHeight="1">
      <c r="G751" s="17"/>
    </row>
    <row r="752" spans="7:7" ht="15.75" customHeight="1">
      <c r="G752" s="17"/>
    </row>
    <row r="753" spans="7:7" ht="15.75" customHeight="1">
      <c r="G753" s="17"/>
    </row>
    <row r="754" spans="7:7" ht="15.75" customHeight="1">
      <c r="G754" s="17"/>
    </row>
    <row r="755" spans="7:7" ht="15.75" customHeight="1">
      <c r="G755" s="17"/>
    </row>
    <row r="756" spans="7:7" ht="15.75" customHeight="1">
      <c r="G756" s="17"/>
    </row>
    <row r="757" spans="7:7" ht="15.75" customHeight="1">
      <c r="G757" s="17"/>
    </row>
    <row r="758" spans="7:7" ht="15.75" customHeight="1">
      <c r="G758" s="17"/>
    </row>
    <row r="759" spans="7:7" ht="15.75" customHeight="1">
      <c r="G759" s="17"/>
    </row>
    <row r="760" spans="7:7" ht="15.75" customHeight="1">
      <c r="G760" s="17"/>
    </row>
    <row r="761" spans="7:7" ht="15.75" customHeight="1">
      <c r="G761" s="17"/>
    </row>
    <row r="762" spans="7:7" ht="15.75" customHeight="1">
      <c r="G762" s="17"/>
    </row>
    <row r="763" spans="7:7" ht="15.75" customHeight="1">
      <c r="G763" s="17"/>
    </row>
    <row r="764" spans="7:7" ht="15.75" customHeight="1">
      <c r="G764" s="17"/>
    </row>
    <row r="765" spans="7:7" ht="15.75" customHeight="1">
      <c r="G765" s="17"/>
    </row>
    <row r="766" spans="7:7" ht="15.75" customHeight="1">
      <c r="G766" s="17"/>
    </row>
    <row r="767" spans="7:7" ht="15.75" customHeight="1">
      <c r="G767" s="17"/>
    </row>
    <row r="768" spans="7:7" ht="15.75" customHeight="1">
      <c r="G768" s="17"/>
    </row>
    <row r="769" spans="7:7" ht="15.75" customHeight="1">
      <c r="G769" s="17"/>
    </row>
    <row r="770" spans="7:7" ht="15.75" customHeight="1">
      <c r="G770" s="17"/>
    </row>
    <row r="771" spans="7:7" ht="15.75" customHeight="1">
      <c r="G771" s="17"/>
    </row>
    <row r="772" spans="7:7" ht="15.75" customHeight="1">
      <c r="G772" s="17"/>
    </row>
    <row r="773" spans="7:7" ht="15.75" customHeight="1">
      <c r="G773" s="17"/>
    </row>
    <row r="774" spans="7:7" ht="15.75" customHeight="1">
      <c r="G774" s="17"/>
    </row>
    <row r="775" spans="7:7" ht="15.75" customHeight="1">
      <c r="G775" s="17"/>
    </row>
    <row r="776" spans="7:7" ht="15.75" customHeight="1">
      <c r="G776" s="17"/>
    </row>
    <row r="777" spans="7:7" ht="15.75" customHeight="1">
      <c r="G777" s="17"/>
    </row>
    <row r="778" spans="7:7" ht="15.75" customHeight="1">
      <c r="G778" s="17"/>
    </row>
    <row r="779" spans="7:7" ht="15.75" customHeight="1">
      <c r="G779" s="17"/>
    </row>
    <row r="780" spans="7:7" ht="15.75" customHeight="1">
      <c r="G780" s="17"/>
    </row>
    <row r="781" spans="7:7" ht="15.75" customHeight="1">
      <c r="G781" s="17"/>
    </row>
    <row r="782" spans="7:7" ht="15.75" customHeight="1">
      <c r="G782" s="17"/>
    </row>
    <row r="783" spans="7:7" ht="15.75" customHeight="1">
      <c r="G783" s="17"/>
    </row>
    <row r="784" spans="7:7" ht="15.75" customHeight="1">
      <c r="G784" s="17"/>
    </row>
    <row r="785" spans="7:7" ht="15.75" customHeight="1">
      <c r="G785" s="17"/>
    </row>
    <row r="786" spans="7:7" ht="15.75" customHeight="1">
      <c r="G786" s="17"/>
    </row>
    <row r="787" spans="7:7" ht="15.75" customHeight="1">
      <c r="G787" s="17"/>
    </row>
    <row r="788" spans="7:7" ht="15.75" customHeight="1">
      <c r="G788" s="17"/>
    </row>
    <row r="789" spans="7:7" ht="15.75" customHeight="1">
      <c r="G789" s="17"/>
    </row>
    <row r="790" spans="7:7" ht="15.75" customHeight="1">
      <c r="G790" s="17"/>
    </row>
    <row r="791" spans="7:7" ht="15.75" customHeight="1">
      <c r="G791" s="17"/>
    </row>
    <row r="792" spans="7:7" ht="15.75" customHeight="1">
      <c r="G792" s="17"/>
    </row>
    <row r="793" spans="7:7" ht="15.75" customHeight="1">
      <c r="G793" s="17"/>
    </row>
    <row r="794" spans="7:7" ht="15.75" customHeight="1">
      <c r="G794" s="17"/>
    </row>
    <row r="795" spans="7:7" ht="15.75" customHeight="1">
      <c r="G795" s="17"/>
    </row>
    <row r="796" spans="7:7" ht="15.75" customHeight="1">
      <c r="G796" s="17"/>
    </row>
    <row r="797" spans="7:7" ht="15.75" customHeight="1">
      <c r="G797" s="17"/>
    </row>
    <row r="798" spans="7:7" ht="15.75" customHeight="1">
      <c r="G798" s="17"/>
    </row>
    <row r="799" spans="7:7" ht="15.75" customHeight="1">
      <c r="G799" s="17"/>
    </row>
    <row r="800" spans="7:7" ht="15.75" customHeight="1">
      <c r="G800" s="17"/>
    </row>
    <row r="801" spans="7:7" ht="15.75" customHeight="1">
      <c r="G801" s="17"/>
    </row>
    <row r="802" spans="7:7" ht="15.75" customHeight="1">
      <c r="G802" s="17"/>
    </row>
    <row r="803" spans="7:7" ht="15.75" customHeight="1">
      <c r="G803" s="17"/>
    </row>
    <row r="804" spans="7:7" ht="15.75" customHeight="1">
      <c r="G804" s="17"/>
    </row>
    <row r="805" spans="7:7" ht="15.75" customHeight="1">
      <c r="G805" s="17"/>
    </row>
    <row r="806" spans="7:7" ht="15.75" customHeight="1">
      <c r="G806" s="17"/>
    </row>
    <row r="807" spans="7:7" ht="15.75" customHeight="1">
      <c r="G807" s="17"/>
    </row>
    <row r="808" spans="7:7" ht="15.75" customHeight="1">
      <c r="G808" s="17"/>
    </row>
    <row r="809" spans="7:7" ht="15.75" customHeight="1">
      <c r="G809" s="17"/>
    </row>
    <row r="810" spans="7:7" ht="15.75" customHeight="1">
      <c r="G810" s="17"/>
    </row>
    <row r="811" spans="7:7" ht="15.75" customHeight="1">
      <c r="G811" s="17"/>
    </row>
    <row r="812" spans="7:7" ht="15.75" customHeight="1">
      <c r="G812" s="17"/>
    </row>
    <row r="813" spans="7:7" ht="15.75" customHeight="1">
      <c r="G813" s="17"/>
    </row>
    <row r="814" spans="7:7" ht="15.75" customHeight="1">
      <c r="G814" s="17"/>
    </row>
    <row r="815" spans="7:7" ht="15.75" customHeight="1">
      <c r="G815" s="17"/>
    </row>
    <row r="816" spans="7:7" ht="15.75" customHeight="1">
      <c r="G816" s="17"/>
    </row>
    <row r="817" spans="7:7" ht="15.75" customHeight="1">
      <c r="G817" s="17"/>
    </row>
    <row r="818" spans="7:7" ht="15.75" customHeight="1">
      <c r="G818" s="17"/>
    </row>
    <row r="819" spans="7:7" ht="15.75" customHeight="1">
      <c r="G819" s="17"/>
    </row>
    <row r="820" spans="7:7" ht="15.75" customHeight="1">
      <c r="G820" s="17"/>
    </row>
    <row r="821" spans="7:7" ht="15.75" customHeight="1">
      <c r="G821" s="17"/>
    </row>
    <row r="822" spans="7:7" ht="15.75" customHeight="1">
      <c r="G822" s="17"/>
    </row>
    <row r="823" spans="7:7" ht="15.75" customHeight="1">
      <c r="G823" s="17"/>
    </row>
    <row r="824" spans="7:7" ht="15.75" customHeight="1">
      <c r="G824" s="17"/>
    </row>
    <row r="825" spans="7:7" ht="15.75" customHeight="1">
      <c r="G825" s="17"/>
    </row>
    <row r="826" spans="7:7" ht="15.75" customHeight="1">
      <c r="G826" s="17"/>
    </row>
    <row r="827" spans="7:7" ht="15.75" customHeight="1">
      <c r="G827" s="17"/>
    </row>
    <row r="828" spans="7:7" ht="15.75" customHeight="1">
      <c r="G828" s="17"/>
    </row>
    <row r="829" spans="7:7" ht="15.75" customHeight="1">
      <c r="G829" s="17"/>
    </row>
    <row r="830" spans="7:7" ht="15.75" customHeight="1">
      <c r="G830" s="17"/>
    </row>
    <row r="831" spans="7:7" ht="15.75" customHeight="1">
      <c r="G831" s="17"/>
    </row>
    <row r="832" spans="7:7" ht="15.75" customHeight="1">
      <c r="G832" s="17"/>
    </row>
    <row r="833" spans="7:7" ht="15.75" customHeight="1">
      <c r="G833" s="17"/>
    </row>
    <row r="834" spans="7:7" ht="15.75" customHeight="1">
      <c r="G834" s="17"/>
    </row>
    <row r="835" spans="7:7" ht="15.75" customHeight="1">
      <c r="G835" s="17"/>
    </row>
    <row r="836" spans="7:7" ht="15.75" customHeight="1">
      <c r="G836" s="17"/>
    </row>
    <row r="837" spans="7:7" ht="15.75" customHeight="1">
      <c r="G837" s="17"/>
    </row>
    <row r="838" spans="7:7" ht="15.75" customHeight="1">
      <c r="G838" s="17"/>
    </row>
    <row r="839" spans="7:7" ht="15.75" customHeight="1">
      <c r="G839" s="17"/>
    </row>
    <row r="840" spans="7:7" ht="15.75" customHeight="1">
      <c r="G840" s="17"/>
    </row>
    <row r="841" spans="7:7" ht="15.75" customHeight="1">
      <c r="G841" s="17"/>
    </row>
    <row r="842" spans="7:7" ht="15.75" customHeight="1">
      <c r="G842" s="17"/>
    </row>
    <row r="843" spans="7:7" ht="15.75" customHeight="1">
      <c r="G843" s="17"/>
    </row>
    <row r="844" spans="7:7" ht="15.75" customHeight="1">
      <c r="G844" s="17"/>
    </row>
    <row r="845" spans="7:7" ht="15.75" customHeight="1">
      <c r="G845" s="17"/>
    </row>
    <row r="846" spans="7:7" ht="15.75" customHeight="1">
      <c r="G846" s="17"/>
    </row>
    <row r="847" spans="7:7" ht="15.75" customHeight="1">
      <c r="G847" s="17"/>
    </row>
    <row r="848" spans="7:7" ht="15.75" customHeight="1">
      <c r="G848" s="17"/>
    </row>
    <row r="849" spans="7:7" ht="15.75" customHeight="1">
      <c r="G849" s="17"/>
    </row>
    <row r="850" spans="7:7" ht="15.75" customHeight="1">
      <c r="G850" s="17"/>
    </row>
    <row r="851" spans="7:7" ht="15.75" customHeight="1">
      <c r="G851" s="17"/>
    </row>
    <row r="852" spans="7:7" ht="15.75" customHeight="1">
      <c r="G852" s="17"/>
    </row>
    <row r="853" spans="7:7" ht="15.75" customHeight="1">
      <c r="G853" s="17"/>
    </row>
    <row r="854" spans="7:7" ht="15.75" customHeight="1">
      <c r="G854" s="17"/>
    </row>
    <row r="855" spans="7:7" ht="15.75" customHeight="1">
      <c r="G855" s="17"/>
    </row>
    <row r="856" spans="7:7" ht="15.75" customHeight="1">
      <c r="G856" s="17"/>
    </row>
    <row r="857" spans="7:7" ht="15.75" customHeight="1">
      <c r="G857" s="17"/>
    </row>
    <row r="858" spans="7:7" ht="15.75" customHeight="1">
      <c r="G858" s="17"/>
    </row>
    <row r="859" spans="7:7" ht="15.75" customHeight="1">
      <c r="G859" s="17"/>
    </row>
    <row r="860" spans="7:7" ht="15.75" customHeight="1">
      <c r="G860" s="17"/>
    </row>
    <row r="861" spans="7:7" ht="15.75" customHeight="1">
      <c r="G861" s="17"/>
    </row>
    <row r="862" spans="7:7" ht="15.75" customHeight="1">
      <c r="G862" s="17"/>
    </row>
    <row r="863" spans="7:7" ht="15.75" customHeight="1">
      <c r="G863" s="17"/>
    </row>
    <row r="864" spans="7:7" ht="15.75" customHeight="1">
      <c r="G864" s="17"/>
    </row>
    <row r="865" spans="7:7" ht="15.75" customHeight="1">
      <c r="G865" s="17"/>
    </row>
    <row r="866" spans="7:7" ht="15.75" customHeight="1">
      <c r="G866" s="17"/>
    </row>
    <row r="867" spans="7:7" ht="15.75" customHeight="1">
      <c r="G867" s="17"/>
    </row>
    <row r="868" spans="7:7" ht="15.75" customHeight="1">
      <c r="G868" s="17"/>
    </row>
    <row r="869" spans="7:7" ht="15.75" customHeight="1">
      <c r="G869" s="17"/>
    </row>
    <row r="870" spans="7:7" ht="15.75" customHeight="1">
      <c r="G870" s="17"/>
    </row>
    <row r="871" spans="7:7" ht="15.75" customHeight="1">
      <c r="G871" s="17"/>
    </row>
    <row r="872" spans="7:7" ht="15.75" customHeight="1">
      <c r="G872" s="17"/>
    </row>
    <row r="873" spans="7:7" ht="15.75" customHeight="1">
      <c r="G873" s="17"/>
    </row>
    <row r="874" spans="7:7" ht="15.75" customHeight="1">
      <c r="G874" s="17"/>
    </row>
    <row r="875" spans="7:7" ht="15.75" customHeight="1">
      <c r="G875" s="17"/>
    </row>
    <row r="876" spans="7:7" ht="15.75" customHeight="1">
      <c r="G876" s="17"/>
    </row>
    <row r="877" spans="7:7" ht="15.75" customHeight="1">
      <c r="G877" s="17"/>
    </row>
    <row r="878" spans="7:7" ht="15.75" customHeight="1">
      <c r="G878" s="17"/>
    </row>
    <row r="879" spans="7:7" ht="15.75" customHeight="1">
      <c r="G879" s="17"/>
    </row>
    <row r="880" spans="7:7" ht="15.75" customHeight="1">
      <c r="G880" s="17"/>
    </row>
    <row r="881" spans="7:7" ht="15.75" customHeight="1">
      <c r="G881" s="17"/>
    </row>
    <row r="882" spans="7:7" ht="15.75" customHeight="1">
      <c r="G882" s="17"/>
    </row>
    <row r="883" spans="7:7" ht="15.75" customHeight="1">
      <c r="G883" s="17"/>
    </row>
    <row r="884" spans="7:7" ht="15.75" customHeight="1">
      <c r="G884" s="17"/>
    </row>
    <row r="885" spans="7:7" ht="15.75" customHeight="1">
      <c r="G885" s="17"/>
    </row>
    <row r="886" spans="7:7" ht="15.75" customHeight="1">
      <c r="G886" s="17"/>
    </row>
    <row r="887" spans="7:7" ht="15.75" customHeight="1">
      <c r="G887" s="17"/>
    </row>
    <row r="888" spans="7:7" ht="15.75" customHeight="1">
      <c r="G888" s="17"/>
    </row>
    <row r="889" spans="7:7" ht="15.75" customHeight="1">
      <c r="G889" s="17"/>
    </row>
    <row r="890" spans="7:7" ht="15.75" customHeight="1">
      <c r="G890" s="17"/>
    </row>
    <row r="891" spans="7:7" ht="15.75" customHeight="1">
      <c r="G891" s="17"/>
    </row>
    <row r="892" spans="7:7" ht="15.75" customHeight="1">
      <c r="G892" s="17"/>
    </row>
    <row r="893" spans="7:7" ht="15.75" customHeight="1">
      <c r="G893" s="17"/>
    </row>
    <row r="894" spans="7:7" ht="15.75" customHeight="1">
      <c r="G894" s="17"/>
    </row>
    <row r="895" spans="7:7" ht="15.75" customHeight="1">
      <c r="G895" s="17"/>
    </row>
    <row r="896" spans="7:7" ht="15.75" customHeight="1">
      <c r="G896" s="17"/>
    </row>
    <row r="897" spans="7:7" ht="15.75" customHeight="1">
      <c r="G897" s="17"/>
    </row>
    <row r="898" spans="7:7" ht="15.75" customHeight="1">
      <c r="G898" s="17"/>
    </row>
    <row r="899" spans="7:7" ht="15.75" customHeight="1">
      <c r="G899" s="17"/>
    </row>
    <row r="900" spans="7:7" ht="15.75" customHeight="1">
      <c r="G900" s="17"/>
    </row>
    <row r="901" spans="7:7" ht="15.75" customHeight="1">
      <c r="G901" s="17"/>
    </row>
    <row r="902" spans="7:7" ht="15.75" customHeight="1">
      <c r="G902" s="17"/>
    </row>
    <row r="903" spans="7:7" ht="15.75" customHeight="1">
      <c r="G903" s="17"/>
    </row>
    <row r="904" spans="7:7" ht="15.75" customHeight="1">
      <c r="G904" s="17"/>
    </row>
    <row r="905" spans="7:7" ht="15.75" customHeight="1">
      <c r="G905" s="17"/>
    </row>
    <row r="906" spans="7:7" ht="15.75" customHeight="1">
      <c r="G906" s="17"/>
    </row>
    <row r="907" spans="7:7" ht="15.75" customHeight="1">
      <c r="G907" s="17"/>
    </row>
    <row r="908" spans="7:7" ht="15.75" customHeight="1">
      <c r="G908" s="17"/>
    </row>
    <row r="909" spans="7:7" ht="15.75" customHeight="1">
      <c r="G909" s="17"/>
    </row>
    <row r="910" spans="7:7" ht="15.75" customHeight="1">
      <c r="G910" s="17"/>
    </row>
    <row r="911" spans="7:7" ht="15.75" customHeight="1">
      <c r="G911" s="17"/>
    </row>
    <row r="912" spans="7:7" ht="15.75" customHeight="1">
      <c r="G912" s="17"/>
    </row>
    <row r="913" spans="7:7" ht="15.75" customHeight="1">
      <c r="G913" s="17"/>
    </row>
    <row r="914" spans="7:7" ht="15.75" customHeight="1">
      <c r="G914" s="17"/>
    </row>
    <row r="915" spans="7:7" ht="15.75" customHeight="1">
      <c r="G915" s="17"/>
    </row>
    <row r="916" spans="7:7" ht="15.75" customHeight="1">
      <c r="G916" s="17"/>
    </row>
    <row r="917" spans="7:7" ht="15.75" customHeight="1">
      <c r="G917" s="17"/>
    </row>
    <row r="918" spans="7:7" ht="15.75" customHeight="1">
      <c r="G918" s="17"/>
    </row>
    <row r="919" spans="7:7" ht="15.75" customHeight="1">
      <c r="G919" s="17"/>
    </row>
    <row r="920" spans="7:7" ht="15.75" customHeight="1">
      <c r="G920" s="17"/>
    </row>
    <row r="921" spans="7:7" ht="15.75" customHeight="1">
      <c r="G921" s="17"/>
    </row>
    <row r="922" spans="7:7" ht="15.75" customHeight="1">
      <c r="G922" s="17"/>
    </row>
    <row r="923" spans="7:7" ht="15.75" customHeight="1">
      <c r="G923" s="17"/>
    </row>
    <row r="924" spans="7:7" ht="15.75" customHeight="1">
      <c r="G924" s="17"/>
    </row>
    <row r="925" spans="7:7" ht="15.75" customHeight="1">
      <c r="G925" s="17"/>
    </row>
    <row r="926" spans="7:7" ht="15.75" customHeight="1">
      <c r="G926" s="17"/>
    </row>
    <row r="927" spans="7:7" ht="15.75" customHeight="1">
      <c r="G927" s="17"/>
    </row>
    <row r="928" spans="7:7" ht="15.75" customHeight="1">
      <c r="G928" s="17"/>
    </row>
    <row r="929" spans="7:7" ht="15.75" customHeight="1">
      <c r="G929" s="17"/>
    </row>
    <row r="930" spans="7:7" ht="15.75" customHeight="1">
      <c r="G930" s="17"/>
    </row>
    <row r="931" spans="7:7" ht="15.75" customHeight="1">
      <c r="G931" s="17"/>
    </row>
    <row r="932" spans="7:7" ht="15.75" customHeight="1">
      <c r="G932" s="17"/>
    </row>
    <row r="933" spans="7:7" ht="15.75" customHeight="1">
      <c r="G933" s="17"/>
    </row>
    <row r="934" spans="7:7" ht="15.75" customHeight="1">
      <c r="G934" s="17"/>
    </row>
    <row r="935" spans="7:7" ht="15.75" customHeight="1">
      <c r="G935" s="17"/>
    </row>
    <row r="936" spans="7:7" ht="15.75" customHeight="1">
      <c r="G936" s="17"/>
    </row>
    <row r="937" spans="7:7" ht="15.75" customHeight="1">
      <c r="G937" s="17"/>
    </row>
    <row r="938" spans="7:7" ht="15.75" customHeight="1">
      <c r="G938" s="17"/>
    </row>
    <row r="939" spans="7:7" ht="15.75" customHeight="1">
      <c r="G939" s="17"/>
    </row>
    <row r="940" spans="7:7" ht="15.75" customHeight="1">
      <c r="G940" s="17"/>
    </row>
    <row r="941" spans="7:7" ht="15.75" customHeight="1">
      <c r="G941" s="17"/>
    </row>
    <row r="942" spans="7:7" ht="15.75" customHeight="1">
      <c r="G942" s="17"/>
    </row>
    <row r="943" spans="7:7" ht="15.75" customHeight="1">
      <c r="G943" s="17"/>
    </row>
    <row r="944" spans="7:7" ht="15.75" customHeight="1">
      <c r="G944" s="17"/>
    </row>
    <row r="945" spans="7:7" ht="15.75" customHeight="1">
      <c r="G945" s="17"/>
    </row>
    <row r="946" spans="7:7" ht="15.75" customHeight="1">
      <c r="G946" s="17"/>
    </row>
    <row r="947" spans="7:7" ht="15.75" customHeight="1">
      <c r="G947" s="17"/>
    </row>
    <row r="948" spans="7:7" ht="15.75" customHeight="1">
      <c r="G948" s="17"/>
    </row>
    <row r="949" spans="7:7" ht="15.75" customHeight="1">
      <c r="G949" s="17"/>
    </row>
    <row r="950" spans="7:7" ht="15.75" customHeight="1">
      <c r="G950" s="17"/>
    </row>
    <row r="951" spans="7:7" ht="15.75" customHeight="1">
      <c r="G951" s="17"/>
    </row>
    <row r="952" spans="7:7" ht="15.75" customHeight="1">
      <c r="G952" s="17"/>
    </row>
    <row r="953" spans="7:7" ht="15.75" customHeight="1">
      <c r="G953" s="17"/>
    </row>
    <row r="954" spans="7:7" ht="15.75" customHeight="1">
      <c r="G954" s="17"/>
    </row>
    <row r="955" spans="7:7" ht="15.75" customHeight="1">
      <c r="G955" s="17"/>
    </row>
    <row r="956" spans="7:7" ht="15.75" customHeight="1">
      <c r="G956" s="17"/>
    </row>
    <row r="957" spans="7:7" ht="15.75" customHeight="1">
      <c r="G957" s="17"/>
    </row>
    <row r="958" spans="7:7" ht="15.75" customHeight="1">
      <c r="G958" s="17"/>
    </row>
    <row r="959" spans="7:7" ht="15.75" customHeight="1">
      <c r="G959" s="17"/>
    </row>
    <row r="960" spans="7:7" ht="15.75" customHeight="1">
      <c r="G960" s="17"/>
    </row>
    <row r="961" spans="7:7" ht="15.75" customHeight="1">
      <c r="G961" s="17"/>
    </row>
    <row r="962" spans="7:7" ht="15.75" customHeight="1">
      <c r="G962" s="17"/>
    </row>
    <row r="963" spans="7:7" ht="15.75" customHeight="1">
      <c r="G963" s="17"/>
    </row>
    <row r="964" spans="7:7" ht="15.75" customHeight="1">
      <c r="G964" s="17"/>
    </row>
    <row r="965" spans="7:7" ht="15.75" customHeight="1">
      <c r="G965" s="17"/>
    </row>
    <row r="966" spans="7:7" ht="15.75" customHeight="1">
      <c r="G966" s="17"/>
    </row>
    <row r="967" spans="7:7" ht="15.75" customHeight="1">
      <c r="G967" s="17"/>
    </row>
    <row r="968" spans="7:7" ht="15.75" customHeight="1">
      <c r="G968" s="17"/>
    </row>
    <row r="969" spans="7:7" ht="15.75" customHeight="1">
      <c r="G969" s="17"/>
    </row>
    <row r="970" spans="7:7" ht="15.75" customHeight="1">
      <c r="G970" s="17"/>
    </row>
    <row r="971" spans="7:7" ht="15.75" customHeight="1">
      <c r="G971" s="17"/>
    </row>
    <row r="972" spans="7:7" ht="15.75" customHeight="1">
      <c r="G972" s="17"/>
    </row>
    <row r="973" spans="7:7" ht="15.75" customHeight="1">
      <c r="G973" s="17"/>
    </row>
    <row r="974" spans="7:7" ht="15.75" customHeight="1">
      <c r="G974" s="17"/>
    </row>
    <row r="975" spans="7:7" ht="15.75" customHeight="1">
      <c r="G975" s="17"/>
    </row>
    <row r="976" spans="7:7" ht="15.75" customHeight="1">
      <c r="G976" s="17"/>
    </row>
    <row r="977" spans="7:7" ht="15.75" customHeight="1">
      <c r="G977" s="17"/>
    </row>
    <row r="978" spans="7:7" ht="15.75" customHeight="1">
      <c r="G978" s="17"/>
    </row>
    <row r="979" spans="7:7" ht="15.75" customHeight="1">
      <c r="G979" s="17"/>
    </row>
    <row r="980" spans="7:7" ht="15.75" customHeight="1">
      <c r="G980" s="17"/>
    </row>
    <row r="981" spans="7:7" ht="15.75" customHeight="1">
      <c r="G981" s="17"/>
    </row>
    <row r="982" spans="7:7" ht="15.75" customHeight="1">
      <c r="G982" s="17"/>
    </row>
    <row r="983" spans="7:7" ht="15.75" customHeight="1">
      <c r="G983" s="17"/>
    </row>
    <row r="984" spans="7:7" ht="15.75" customHeight="1">
      <c r="G984" s="17"/>
    </row>
    <row r="985" spans="7:7" ht="15.75" customHeight="1">
      <c r="G985" s="17"/>
    </row>
    <row r="986" spans="7:7" ht="15.75" customHeight="1">
      <c r="G986" s="17"/>
    </row>
    <row r="987" spans="7:7" ht="15.75" customHeight="1">
      <c r="G987" s="17"/>
    </row>
    <row r="988" spans="7:7" ht="15.75" customHeight="1">
      <c r="G988" s="17"/>
    </row>
    <row r="989" spans="7:7" ht="15.75" customHeight="1">
      <c r="G989" s="17"/>
    </row>
    <row r="990" spans="7:7" ht="15.75" customHeight="1">
      <c r="G990" s="17"/>
    </row>
    <row r="991" spans="7:7" ht="15.75" customHeight="1">
      <c r="G991" s="17"/>
    </row>
    <row r="992" spans="7:7" ht="15.75" customHeight="1">
      <c r="G992" s="17"/>
    </row>
    <row r="993" spans="7:7" ht="15.75" customHeight="1">
      <c r="G993" s="17"/>
    </row>
    <row r="994" spans="7:7" ht="15.75" customHeight="1">
      <c r="G994" s="17"/>
    </row>
    <row r="995" spans="7:7" ht="15.75" customHeight="1">
      <c r="G995" s="17"/>
    </row>
    <row r="996" spans="7:7" ht="15.75" customHeight="1">
      <c r="G996" s="17"/>
    </row>
    <row r="997" spans="7:7" ht="15.75" customHeight="1">
      <c r="G997" s="17"/>
    </row>
    <row r="998" spans="7:7" ht="15.75" customHeight="1">
      <c r="G998" s="17"/>
    </row>
    <row r="999" spans="7:7" ht="15.75" customHeight="1">
      <c r="G999" s="17"/>
    </row>
    <row r="1000" spans="7:7" ht="15.75" customHeight="1">
      <c r="G1000"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loe_accuracy</vt:lpstr>
      <vt:lpstr>extraction_completeness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 Poulsen Khurana</cp:lastModifiedBy>
  <dcterms:created xsi:type="dcterms:W3CDTF">2026-06-29T15:22:03Z</dcterms:created>
  <dcterms:modified xsi:type="dcterms:W3CDTF">2026-06-29T15:25:19Z</dcterms:modified>
</cp:coreProperties>
</file>